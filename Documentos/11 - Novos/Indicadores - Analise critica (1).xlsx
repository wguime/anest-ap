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d.docs.live.net/124d3c2c2c7c4d7c/Área de Trabalho/"/>
    </mc:Choice>
  </mc:AlternateContent>
  <xr:revisionPtr revIDLastSave="0" documentId="8_{3D2567E7-BB92-483C-9EEA-04E4C7C6E240}" xr6:coauthVersionLast="47" xr6:coauthVersionMax="47" xr10:uidLastSave="{00000000-0000-0000-0000-000000000000}"/>
  <bookViews>
    <workbookView xWindow="-120" yWindow="-120" windowWidth="20730" windowHeight="11160" firstSheet="7" activeTab="7" xr2:uid="{1D58592E-545B-4F06-8631-F5CC6D1D3A47}"/>
  </bookViews>
  <sheets>
    <sheet name="% Consulta pré anestésica" sheetId="1" r:id="rId1"/>
    <sheet name="% Incidencia de dor aguda" sheetId="2" r:id="rId2"/>
    <sheet name="% Abreviação do jejum P." sheetId="3" r:id="rId3"/>
    <sheet name="Incidencia de PCR até a Alta" sheetId="4" r:id="rId4"/>
    <sheet name="% Mudança da Tecnica Anestésica" sheetId="5" r:id="rId5"/>
    <sheet name="% Incidência Enc. UTI" sheetId="6" r:id="rId6"/>
    <sheet name="% Efet. no controle glicemico" sheetId="7" r:id="rId7"/>
    <sheet name="% Saídas sem eventos anestésico" sheetId="8" r:id="rId8"/>
    <sheet name="% Mortalidade Associada a anest" sheetId="9" r:id="rId9"/>
    <sheet name="% Estratificação de risco" sheetId="10" r:id="rId10"/>
    <sheet name="%Incidencia de VAD não prevista" sheetId="11" r:id="rId11"/>
    <sheet name="% Incidência de NVPO" sheetId="12" r:id="rId12"/>
    <sheet name="%Efetiv. no manejo de Int. Anes" sheetId="13" r:id="rId13"/>
    <sheet name="% Conformidade do ATB" sheetId="14" r:id="rId14"/>
    <sheet name="% adesão aos prot.segurança" sheetId="20" r:id="rId15"/>
    <sheet name="% Efet. Prevenção Cefaléia PPD" sheetId="15" r:id="rId16"/>
    <sheet name="% Incidência de Hipotermia" sheetId="16" r:id="rId17"/>
    <sheet name="% adesão aos prot clinico Assit" sheetId="22" r:id="rId18"/>
    <sheet name="Indicadores estratégicos" sheetId="21" r:id="rId19"/>
    <sheet name="Resultados Gerais" sheetId="18" r:id="rId20"/>
    <sheet name="Planilha1" sheetId="23" r:id="rId21"/>
    <sheet name="Planilha2" sheetId="24" r:id="rId22"/>
    <sheet name="Metas recomendadas" sheetId="19" r:id="rId23"/>
  </sheets>
  <definedNames>
    <definedName name="_xlnm._FilterDatabase" localSheetId="19" hidden="1">'Resultados Gerais'!$A$1:$R$29</definedName>
    <definedName name="_xlnm._FilterDatabase" localSheetId="20" hidden="1">Planilha1!$A$1:$O$1</definedName>
    <definedName name="_xlnm._FilterDatabase" localSheetId="21" hidden="1">Planilha2!$A$1:$I$22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5" i="23" l="1"/>
  <c r="O24" i="23"/>
  <c r="N22" i="23"/>
  <c r="M22" i="23"/>
  <c r="L22" i="23"/>
  <c r="K22" i="23"/>
  <c r="J22" i="23"/>
  <c r="I22" i="23"/>
  <c r="H22" i="23"/>
  <c r="G22" i="23"/>
  <c r="F22" i="23"/>
  <c r="O22" i="23" s="1"/>
  <c r="N21" i="23"/>
  <c r="M21" i="23"/>
  <c r="L21" i="23"/>
  <c r="K21" i="23"/>
  <c r="J21" i="23"/>
  <c r="I21" i="23"/>
  <c r="H21" i="23"/>
  <c r="G21" i="23"/>
  <c r="F21" i="23"/>
  <c r="O21" i="23" s="1"/>
  <c r="O20" i="23"/>
  <c r="N20" i="23"/>
  <c r="M20" i="23"/>
  <c r="L20" i="23"/>
  <c r="K20" i="23"/>
  <c r="J20" i="23"/>
  <c r="I20" i="23"/>
  <c r="H20" i="23"/>
  <c r="G20" i="23"/>
  <c r="F20" i="23"/>
  <c r="D20" i="23"/>
  <c r="O19" i="23"/>
  <c r="N19" i="23"/>
  <c r="M19" i="23"/>
  <c r="L19" i="23"/>
  <c r="K19" i="23"/>
  <c r="J19" i="23"/>
  <c r="I19" i="23"/>
  <c r="H19" i="23"/>
  <c r="G19" i="23"/>
  <c r="F19" i="23"/>
  <c r="D19" i="23"/>
  <c r="O18" i="23"/>
  <c r="N18" i="23"/>
  <c r="M18" i="23"/>
  <c r="J18" i="23"/>
  <c r="I18" i="23"/>
  <c r="H18" i="23"/>
  <c r="G18" i="23"/>
  <c r="F18" i="23"/>
  <c r="D18" i="23"/>
  <c r="O14" i="23"/>
  <c r="N14" i="23"/>
  <c r="M14" i="23"/>
  <c r="L14" i="23"/>
  <c r="K14" i="23"/>
  <c r="J14" i="23"/>
  <c r="I14" i="23"/>
  <c r="H14" i="23"/>
  <c r="G14" i="23"/>
  <c r="F14" i="23"/>
  <c r="D14" i="23"/>
  <c r="O13" i="23"/>
  <c r="N13" i="23"/>
  <c r="M13" i="23"/>
  <c r="L13" i="23"/>
  <c r="K13" i="23"/>
  <c r="J13" i="23"/>
  <c r="I13" i="23"/>
  <c r="H13" i="23"/>
  <c r="G13" i="23"/>
  <c r="F13" i="23"/>
  <c r="D13" i="23"/>
  <c r="O12" i="23"/>
  <c r="N12" i="23"/>
  <c r="M12" i="23"/>
  <c r="L12" i="23"/>
  <c r="K12" i="23"/>
  <c r="J12" i="23"/>
  <c r="I12" i="23"/>
  <c r="H12" i="23"/>
  <c r="G12" i="23"/>
  <c r="F12" i="23"/>
  <c r="D12" i="23"/>
  <c r="O11" i="23"/>
  <c r="N11" i="23"/>
  <c r="M11" i="23"/>
  <c r="L11" i="23"/>
  <c r="K11" i="23"/>
  <c r="J11" i="23"/>
  <c r="I11" i="23"/>
  <c r="H11" i="23"/>
  <c r="G11" i="23"/>
  <c r="F11" i="23"/>
  <c r="D11" i="23"/>
  <c r="O10" i="23"/>
  <c r="N10" i="23"/>
  <c r="M10" i="23"/>
  <c r="L10" i="23"/>
  <c r="K10" i="23"/>
  <c r="J10" i="23"/>
  <c r="I10" i="23"/>
  <c r="H10" i="23"/>
  <c r="G10" i="23"/>
  <c r="F10" i="23"/>
  <c r="D10" i="23"/>
  <c r="O9" i="23"/>
  <c r="N9" i="23"/>
  <c r="M9" i="23"/>
  <c r="L9" i="23"/>
  <c r="K9" i="23"/>
  <c r="J9" i="23"/>
  <c r="I9" i="23"/>
  <c r="H9" i="23"/>
  <c r="G9" i="23"/>
  <c r="F9" i="23"/>
  <c r="D9" i="23"/>
  <c r="O8" i="23"/>
  <c r="N8" i="23"/>
  <c r="M8" i="23"/>
  <c r="L8" i="23"/>
  <c r="K8" i="23"/>
  <c r="J8" i="23"/>
  <c r="I8" i="23"/>
  <c r="H8" i="23"/>
  <c r="G8" i="23"/>
  <c r="F8" i="23"/>
  <c r="D8" i="23"/>
  <c r="O7" i="23"/>
  <c r="N7" i="23"/>
  <c r="M7" i="23"/>
  <c r="L7" i="23"/>
  <c r="K7" i="23"/>
  <c r="J7" i="23"/>
  <c r="I7" i="23"/>
  <c r="H7" i="23"/>
  <c r="G7" i="23"/>
  <c r="F7" i="23"/>
  <c r="D7" i="23"/>
  <c r="O6" i="23"/>
  <c r="N6" i="23"/>
  <c r="M6" i="23"/>
  <c r="L6" i="23"/>
  <c r="K6" i="23"/>
  <c r="J6" i="23"/>
  <c r="I6" i="23"/>
  <c r="H6" i="23"/>
  <c r="G6" i="23"/>
  <c r="F6" i="23"/>
  <c r="D6" i="23"/>
  <c r="O5" i="23"/>
  <c r="N5" i="23"/>
  <c r="M5" i="23"/>
  <c r="L5" i="23"/>
  <c r="K5" i="23"/>
  <c r="J5" i="23"/>
  <c r="I5" i="23"/>
  <c r="H5" i="23"/>
  <c r="G5" i="23"/>
  <c r="F5" i="23"/>
  <c r="D5" i="23"/>
  <c r="O4" i="23"/>
  <c r="N4" i="23"/>
  <c r="M4" i="23"/>
  <c r="L4" i="23"/>
  <c r="K4" i="23"/>
  <c r="J4" i="23"/>
  <c r="I4" i="23"/>
  <c r="H4" i="23"/>
  <c r="G4" i="23"/>
  <c r="F4" i="23"/>
  <c r="D4" i="23"/>
  <c r="O3" i="23"/>
  <c r="N3" i="23"/>
  <c r="M3" i="23"/>
  <c r="L3" i="23"/>
  <c r="K3" i="23"/>
  <c r="J3" i="23"/>
  <c r="I3" i="23"/>
  <c r="H3" i="23"/>
  <c r="G3" i="23"/>
  <c r="F3" i="23"/>
  <c r="D3" i="23"/>
  <c r="O2" i="23"/>
  <c r="N2" i="23"/>
  <c r="M2" i="23"/>
  <c r="L2" i="23"/>
  <c r="K2" i="23"/>
  <c r="J2" i="23"/>
  <c r="I2" i="23"/>
  <c r="H2" i="23"/>
  <c r="G2" i="23"/>
  <c r="F2" i="23"/>
  <c r="D2" i="23"/>
  <c r="D2" i="20"/>
  <c r="E2" i="20"/>
  <c r="F2" i="20"/>
  <c r="G2" i="20"/>
  <c r="H2" i="20"/>
  <c r="I2" i="20"/>
  <c r="J2" i="20"/>
  <c r="K2" i="20"/>
  <c r="C2" i="20"/>
  <c r="G18" i="18"/>
  <c r="H18" i="18"/>
  <c r="I18" i="18"/>
  <c r="J18" i="18"/>
  <c r="M18" i="18"/>
  <c r="N18" i="18"/>
  <c r="F18" i="18"/>
  <c r="D2" i="1"/>
  <c r="E2" i="1"/>
  <c r="F2" i="1"/>
  <c r="G2" i="1"/>
  <c r="H2" i="1"/>
  <c r="I2" i="1"/>
  <c r="J2" i="1"/>
  <c r="K2" i="1"/>
  <c r="C2" i="1"/>
  <c r="K2" i="7"/>
  <c r="J2" i="7"/>
  <c r="R24" i="18"/>
  <c r="R25" i="18"/>
  <c r="D9" i="22"/>
  <c r="D8" i="22" s="1"/>
  <c r="E9" i="22"/>
  <c r="E8" i="22" s="1"/>
  <c r="F9" i="22"/>
  <c r="F8" i="22" s="1"/>
  <c r="G9" i="22"/>
  <c r="G8" i="22" s="1"/>
  <c r="H9" i="22"/>
  <c r="H8" i="22" s="1"/>
  <c r="I9" i="22"/>
  <c r="I8" i="22" s="1"/>
  <c r="J9" i="22"/>
  <c r="J8" i="22" s="1"/>
  <c r="K9" i="22"/>
  <c r="K8" i="22" s="1"/>
  <c r="L9" i="22"/>
  <c r="L8" i="22" s="1"/>
  <c r="M9" i="22"/>
  <c r="M8" i="22" s="1"/>
  <c r="N9" i="22"/>
  <c r="N8" i="22" s="1"/>
  <c r="O9" i="22"/>
  <c r="O8" i="22" s="1"/>
  <c r="D10" i="22"/>
  <c r="D4" i="22" s="1"/>
  <c r="E10" i="22"/>
  <c r="E4" i="22" s="1"/>
  <c r="E2" i="22" s="1"/>
  <c r="H22" i="18" s="1"/>
  <c r="F10" i="22"/>
  <c r="F4" i="22" s="1"/>
  <c r="G10" i="22"/>
  <c r="G4" i="22" s="1"/>
  <c r="G2" i="22" s="1"/>
  <c r="J22" i="18" s="1"/>
  <c r="H10" i="22"/>
  <c r="H4" i="22" s="1"/>
  <c r="I10" i="22"/>
  <c r="I4" i="22" s="1"/>
  <c r="I2" i="22" s="1"/>
  <c r="L22" i="18" s="1"/>
  <c r="J10" i="22"/>
  <c r="J4" i="22" s="1"/>
  <c r="K10" i="22"/>
  <c r="K4" i="22" s="1"/>
  <c r="K2" i="22" s="1"/>
  <c r="N22" i="18" s="1"/>
  <c r="L10" i="22"/>
  <c r="L4" i="22" s="1"/>
  <c r="M10" i="22"/>
  <c r="M4" i="22" s="1"/>
  <c r="N10" i="22"/>
  <c r="N4" i="22" s="1"/>
  <c r="D11" i="22"/>
  <c r="D5" i="22" s="1"/>
  <c r="E11" i="22"/>
  <c r="E5" i="22" s="1"/>
  <c r="F11" i="22"/>
  <c r="F5" i="22" s="1"/>
  <c r="G11" i="22"/>
  <c r="G5" i="22" s="1"/>
  <c r="H11" i="22"/>
  <c r="H5" i="22" s="1"/>
  <c r="I11" i="22"/>
  <c r="I5" i="22" s="1"/>
  <c r="J11" i="22"/>
  <c r="J5" i="22" s="1"/>
  <c r="K11" i="22"/>
  <c r="K5" i="22" s="1"/>
  <c r="L11" i="22"/>
  <c r="L5" i="22" s="1"/>
  <c r="M11" i="22"/>
  <c r="M5" i="22" s="1"/>
  <c r="N11" i="22"/>
  <c r="N5" i="22" s="1"/>
  <c r="D13" i="22"/>
  <c r="D12" i="22" s="1"/>
  <c r="E13" i="22"/>
  <c r="E12" i="22" s="1"/>
  <c r="F13" i="22"/>
  <c r="F12" i="22" s="1"/>
  <c r="G13" i="22"/>
  <c r="G12" i="22" s="1"/>
  <c r="H13" i="22"/>
  <c r="H12" i="22" s="1"/>
  <c r="I13" i="22"/>
  <c r="I12" i="22" s="1"/>
  <c r="J13" i="22"/>
  <c r="J12" i="22" s="1"/>
  <c r="K13" i="22"/>
  <c r="K12" i="22" s="1"/>
  <c r="L13" i="22"/>
  <c r="L12" i="22" s="1"/>
  <c r="M13" i="22"/>
  <c r="M12" i="22" s="1"/>
  <c r="N13" i="22"/>
  <c r="N12" i="22" s="1"/>
  <c r="O13" i="22"/>
  <c r="O12" i="22" s="1"/>
  <c r="D14" i="22"/>
  <c r="E14" i="22"/>
  <c r="F14" i="22"/>
  <c r="G14" i="22"/>
  <c r="H14" i="22"/>
  <c r="I14" i="22"/>
  <c r="J14" i="22"/>
  <c r="K14" i="22"/>
  <c r="L14" i="22"/>
  <c r="M14" i="22"/>
  <c r="N14" i="22"/>
  <c r="O14" i="22"/>
  <c r="D15" i="22"/>
  <c r="E15" i="22"/>
  <c r="F15" i="22"/>
  <c r="G15" i="22"/>
  <c r="H15" i="22"/>
  <c r="I15" i="22"/>
  <c r="J15" i="22"/>
  <c r="K15" i="22"/>
  <c r="L15" i="22"/>
  <c r="M15" i="22"/>
  <c r="N15" i="22"/>
  <c r="O15" i="22"/>
  <c r="C14" i="22"/>
  <c r="C15" i="22"/>
  <c r="C12" i="22"/>
  <c r="C13" i="22"/>
  <c r="C10" i="22"/>
  <c r="C4" i="22" s="1"/>
  <c r="C11" i="22"/>
  <c r="C5" i="22" s="1"/>
  <c r="C8" i="22"/>
  <c r="C9" i="22"/>
  <c r="H2" i="22" l="1"/>
  <c r="K22" i="18" s="1"/>
  <c r="D2" i="22"/>
  <c r="G22" i="18" s="1"/>
  <c r="O5" i="22"/>
  <c r="O4" i="22"/>
  <c r="O2" i="22" s="1"/>
  <c r="C2" i="22"/>
  <c r="F22" i="18" s="1"/>
  <c r="J2" i="22"/>
  <c r="M22" i="18" s="1"/>
  <c r="F2" i="22"/>
  <c r="I22" i="18" s="1"/>
  <c r="K21" i="18" l="1"/>
  <c r="I21" i="18"/>
  <c r="G21" i="18"/>
  <c r="H21" i="18"/>
  <c r="R22" i="18"/>
  <c r="F21" i="18"/>
  <c r="J21" i="18"/>
  <c r="D4" i="18" l="1"/>
  <c r="D2" i="11"/>
  <c r="E2" i="11"/>
  <c r="F2" i="11"/>
  <c r="G2" i="11"/>
  <c r="J12" i="18" s="1"/>
  <c r="H2" i="11"/>
  <c r="I2" i="11"/>
  <c r="L21" i="18" s="1"/>
  <c r="J2" i="11"/>
  <c r="M21" i="18" s="1"/>
  <c r="K2" i="11"/>
  <c r="C2" i="11"/>
  <c r="D2" i="2"/>
  <c r="E2" i="2"/>
  <c r="O2" i="2" s="1"/>
  <c r="R3" i="18" s="1"/>
  <c r="F2" i="2"/>
  <c r="G2" i="2"/>
  <c r="J3" i="18" s="1"/>
  <c r="H2" i="2"/>
  <c r="I2" i="2"/>
  <c r="J2" i="2"/>
  <c r="K2" i="2"/>
  <c r="N3" i="18" s="1"/>
  <c r="C2" i="2"/>
  <c r="D2" i="6"/>
  <c r="E2" i="6"/>
  <c r="F2" i="6"/>
  <c r="I7" i="18" s="1"/>
  <c r="G2" i="6"/>
  <c r="J7" i="18" s="1"/>
  <c r="H2" i="6"/>
  <c r="I2" i="6"/>
  <c r="J2" i="6"/>
  <c r="M7" i="18" s="1"/>
  <c r="K2" i="6"/>
  <c r="N7" i="18" s="1"/>
  <c r="C2" i="6"/>
  <c r="D2" i="16"/>
  <c r="E2" i="16"/>
  <c r="H20" i="18" s="1"/>
  <c r="F2" i="16"/>
  <c r="I20" i="18" s="1"/>
  <c r="G2" i="16"/>
  <c r="O2" i="16" s="1"/>
  <c r="R20" i="18" s="1"/>
  <c r="H2" i="16"/>
  <c r="I2" i="16"/>
  <c r="L20" i="18" s="1"/>
  <c r="J2" i="16"/>
  <c r="M20" i="18" s="1"/>
  <c r="K2" i="16"/>
  <c r="N20" i="18" s="1"/>
  <c r="C2" i="16"/>
  <c r="D2" i="12"/>
  <c r="E2" i="12"/>
  <c r="O2" i="12" s="1"/>
  <c r="R13" i="18" s="1"/>
  <c r="F2" i="12"/>
  <c r="G2" i="12"/>
  <c r="J13" i="18" s="1"/>
  <c r="H2" i="12"/>
  <c r="I2" i="12"/>
  <c r="J2" i="12"/>
  <c r="K2" i="12"/>
  <c r="N13" i="18" s="1"/>
  <c r="C2" i="12"/>
  <c r="F13" i="18" s="1"/>
  <c r="D20" i="18"/>
  <c r="D9" i="18"/>
  <c r="O5" i="16"/>
  <c r="O4" i="16"/>
  <c r="O5" i="15"/>
  <c r="O4" i="15"/>
  <c r="O2" i="15"/>
  <c r="O5" i="14"/>
  <c r="O4" i="14"/>
  <c r="O2" i="14"/>
  <c r="O5" i="13"/>
  <c r="O4" i="13"/>
  <c r="O2" i="13"/>
  <c r="R14" i="18" s="1"/>
  <c r="O5" i="12"/>
  <c r="O4" i="12"/>
  <c r="O5" i="11"/>
  <c r="O4" i="11"/>
  <c r="O5" i="10"/>
  <c r="O4" i="10"/>
  <c r="O2" i="10"/>
  <c r="O5" i="9"/>
  <c r="O4" i="9"/>
  <c r="O2" i="9"/>
  <c r="O5" i="8"/>
  <c r="O4" i="8"/>
  <c r="O2" i="8"/>
  <c r="R9" i="18" s="1"/>
  <c r="O5" i="7"/>
  <c r="O4" i="7"/>
  <c r="O2" i="7"/>
  <c r="R8" i="18" s="1"/>
  <c r="O5" i="6"/>
  <c r="O4" i="6"/>
  <c r="O5" i="5"/>
  <c r="O4" i="5"/>
  <c r="O2" i="5"/>
  <c r="R6" i="18" s="1"/>
  <c r="D2" i="4"/>
  <c r="E2" i="4"/>
  <c r="H5" i="18" s="1"/>
  <c r="F2" i="4"/>
  <c r="I5" i="18" s="1"/>
  <c r="G2" i="4"/>
  <c r="J5" i="18" s="1"/>
  <c r="H2" i="4"/>
  <c r="K5" i="18" s="1"/>
  <c r="I2" i="4"/>
  <c r="L5" i="18" s="1"/>
  <c r="J2" i="4"/>
  <c r="M5" i="18" s="1"/>
  <c r="K2" i="4"/>
  <c r="N5" i="18" s="1"/>
  <c r="C2" i="4"/>
  <c r="F5" i="18" s="1"/>
  <c r="O4" i="4"/>
  <c r="O5" i="4"/>
  <c r="O5" i="3"/>
  <c r="O11" i="22" s="1"/>
  <c r="O4" i="3"/>
  <c r="O10" i="22" s="1"/>
  <c r="O2" i="3"/>
  <c r="R4" i="18" s="1"/>
  <c r="O5" i="2"/>
  <c r="O4" i="2"/>
  <c r="D2" i="18"/>
  <c r="F2" i="18"/>
  <c r="G2" i="18"/>
  <c r="H2" i="18"/>
  <c r="I2" i="18"/>
  <c r="J2" i="18"/>
  <c r="K2" i="18"/>
  <c r="L2" i="18"/>
  <c r="M2" i="18"/>
  <c r="N2" i="18"/>
  <c r="G20" i="18"/>
  <c r="K20" i="18"/>
  <c r="F20" i="18"/>
  <c r="G19" i="18"/>
  <c r="H19" i="18"/>
  <c r="I19" i="18"/>
  <c r="J19" i="18"/>
  <c r="K19" i="18"/>
  <c r="L19" i="18"/>
  <c r="M19" i="18"/>
  <c r="N19" i="18"/>
  <c r="R19" i="18"/>
  <c r="F19" i="18"/>
  <c r="R18" i="18"/>
  <c r="G14" i="18"/>
  <c r="H14" i="18"/>
  <c r="I14" i="18"/>
  <c r="J14" i="18"/>
  <c r="K14" i="18"/>
  <c r="L14" i="18"/>
  <c r="M14" i="18"/>
  <c r="N14" i="18"/>
  <c r="F14" i="18"/>
  <c r="G13" i="18"/>
  <c r="H13" i="18"/>
  <c r="I13" i="18"/>
  <c r="K13" i="18"/>
  <c r="L13" i="18"/>
  <c r="M13" i="18"/>
  <c r="G12" i="18"/>
  <c r="H12" i="18"/>
  <c r="I12" i="18"/>
  <c r="K12" i="18"/>
  <c r="L12" i="18"/>
  <c r="M12" i="18"/>
  <c r="G11" i="18"/>
  <c r="H11" i="18"/>
  <c r="I11" i="18"/>
  <c r="J11" i="18"/>
  <c r="K11" i="18"/>
  <c r="L11" i="18"/>
  <c r="M11" i="18"/>
  <c r="N11" i="18"/>
  <c r="R11" i="18"/>
  <c r="F11" i="18"/>
  <c r="G10" i="18"/>
  <c r="H10" i="18"/>
  <c r="I10" i="18"/>
  <c r="J10" i="18"/>
  <c r="K10" i="18"/>
  <c r="L10" i="18"/>
  <c r="M10" i="18"/>
  <c r="N10" i="18"/>
  <c r="R10" i="18"/>
  <c r="F10" i="18"/>
  <c r="G9" i="18"/>
  <c r="H9" i="18"/>
  <c r="I9" i="18"/>
  <c r="J9" i="18"/>
  <c r="K9" i="18"/>
  <c r="L9" i="18"/>
  <c r="M9" i="18"/>
  <c r="N9" i="18"/>
  <c r="F9" i="18"/>
  <c r="G8" i="18"/>
  <c r="H8" i="18"/>
  <c r="I8" i="18"/>
  <c r="J8" i="18"/>
  <c r="K8" i="18"/>
  <c r="L8" i="18"/>
  <c r="M8" i="18"/>
  <c r="N8" i="18"/>
  <c r="F8" i="18"/>
  <c r="G7" i="18"/>
  <c r="H7" i="18"/>
  <c r="K7" i="18"/>
  <c r="L7" i="18"/>
  <c r="G6" i="18"/>
  <c r="H6" i="18"/>
  <c r="I6" i="18"/>
  <c r="J6" i="18"/>
  <c r="K6" i="18"/>
  <c r="L6" i="18"/>
  <c r="M6" i="18"/>
  <c r="N6" i="18"/>
  <c r="F6" i="18"/>
  <c r="G5" i="18"/>
  <c r="G4" i="18"/>
  <c r="H4" i="18"/>
  <c r="I4" i="18"/>
  <c r="J4" i="18"/>
  <c r="K4" i="18"/>
  <c r="L4" i="18"/>
  <c r="M4" i="18"/>
  <c r="N4" i="18"/>
  <c r="F4" i="18"/>
  <c r="G3" i="18"/>
  <c r="H3" i="18"/>
  <c r="I3" i="18"/>
  <c r="K3" i="18"/>
  <c r="L3" i="18"/>
  <c r="M3" i="18"/>
  <c r="F3" i="18"/>
  <c r="D19" i="18"/>
  <c r="D18" i="18"/>
  <c r="D14" i="18"/>
  <c r="D13" i="18"/>
  <c r="D12" i="18"/>
  <c r="D11" i="18"/>
  <c r="D10" i="18"/>
  <c r="D8" i="18"/>
  <c r="D7" i="18"/>
  <c r="D6" i="18"/>
  <c r="D5" i="18"/>
  <c r="D3" i="18"/>
  <c r="O2" i="1"/>
  <c r="R2" i="18" s="1"/>
  <c r="O5" i="1"/>
  <c r="O4" i="1"/>
  <c r="N12" i="18" l="1"/>
  <c r="N21" i="18"/>
  <c r="R21" i="18" s="1"/>
  <c r="F12" i="18"/>
  <c r="O2" i="11"/>
  <c r="O2" i="4"/>
  <c r="R5" i="18" s="1"/>
  <c r="R12" i="18"/>
  <c r="O2" i="6"/>
  <c r="R7" i="18" s="1"/>
  <c r="F7" i="18"/>
  <c r="J20"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tc={C164CEC1-BA48-4C5B-9481-61926DDAB557}</author>
  </authors>
  <commentList>
    <comment ref="A5" authorId="0" shapeId="0" xr:uid="{C164CEC1-BA48-4C5B-9481-61926DDAB557}">
      <text>
        <t xml:space="preserve">[Threaded comment]
Your version of Excel allows you to read this threaded comment; however, any edits to it will get removed if the file is opened in a newer version of Excel. Learn more: https://go.microsoft.com/fwlink/?linkid=870924
Comment:
    Cirurgia Segura
Via Aérea Difícil 
Antibioticoprofilaxia Cirúrgica 
Controle Glicêmico no Paciente Cirúrgico 
Prevenção de Hipotermia 
Manejo de Intoxicação por Anestésicos Locais 
Hipertermia Maligna 
Alergia ao Látex 
Prevenção de Eventos Hemorrágicos 
Prevenção de Tromboembolismo Venoso (TEV) 
Transferência Intra-hospitalar Segura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tc={04818F64-B9D2-408F-ABFB-13F7221A968C}</author>
  </authors>
  <commentList>
    <comment ref="A5" authorId="0" shapeId="0" xr:uid="{04818F64-B9D2-408F-ABFB-13F7221A968C}">
      <text>
        <t xml:space="preserve">[Threaded comment]
Your version of Excel allows you to read this threaded comment; however, any edits to it will get removed if the file is opened in a newer version of Excel. Learn more: https://go.microsoft.com/fwlink/?linkid=870924
Comment:
    Manejo da Dor Aguda no Pós-operatório 
Abreviação de Jejum 
Prevenção de Náuseas e Vômitos no Pós-operatório (PONV) 
Manejo de Cefaleia Pós-raqui </t>
      </text>
    </comment>
  </commentList>
</comments>
</file>

<file path=xl/sharedStrings.xml><?xml version="1.0" encoding="utf-8"?>
<sst xmlns="http://schemas.openxmlformats.org/spreadsheetml/2006/main" count="1221" uniqueCount="335">
  <si>
    <t>ANO</t>
  </si>
  <si>
    <t>TAXA DE PROCEDIMENTOS ELETIVOS COM CONSULTA PRÉ-ANESTÉSICA AMBULATORIAL</t>
  </si>
  <si>
    <t>MÊS</t>
  </si>
  <si>
    <t>Janeiro</t>
  </si>
  <si>
    <t>Fevereiro</t>
  </si>
  <si>
    <t>Março</t>
  </si>
  <si>
    <t>Abril</t>
  </si>
  <si>
    <t>Maio</t>
  </si>
  <si>
    <t>Junho</t>
  </si>
  <si>
    <t>Julho</t>
  </si>
  <si>
    <t>Agosto</t>
  </si>
  <si>
    <t>Setembro</t>
  </si>
  <si>
    <t>Outubro</t>
  </si>
  <si>
    <t>Novembro</t>
  </si>
  <si>
    <t>Dezembro</t>
  </si>
  <si>
    <t>MÉDIA ANUAL</t>
  </si>
  <si>
    <t>Nº de pacientes submetidos a procedimentos eletivos sob anestesia/sedação com realização de consulta pré-anestésica ambulatorial.</t>
  </si>
  <si>
    <t>Nº de pacientes submetidos a procedimentos eletivos sob anestesia/sedação.</t>
  </si>
  <si>
    <t>Meta</t>
  </si>
  <si>
    <t>&gt; 95%</t>
  </si>
  <si>
    <t>Análise Critica</t>
  </si>
  <si>
    <t>Plan (Planejar)</t>
  </si>
  <si>
    <t>Do (Executar/Fazer)</t>
  </si>
  <si>
    <t>Check (Verificar/Checar)</t>
  </si>
  <si>
    <t>Act (Agir/Ajustar/Padronizar)</t>
  </si>
  <si>
    <t>1º Trimestre (Jan–Fev–Mar)</t>
  </si>
  <si>
    <t>O indicador manteve desempenho significativamente abaixo da meta (&gt;95%), com resultados de 79%, 78% e 74%, representando deterioração progressiva do processo. Entre janeiro e março, o total de procedimentos eletivos sob anestesia/sedação aumentou 7% (de 1.400 para 1.501), mas o número de consultas pré-anestésicas ambulatoriais não acompanhou essa expansão, crescendo apenas 1% (de 1.099 para 1.109). O Centro Cirúrgico concentrou a maior parte das falhas — grande volume de avaliações realizadas no dia da cirurgia e ausência de registro eletrônico formal. O Serviço de Imagem, embora com média de 636 exames anestésicos por mês, apresentava apenas 50% de cobertura de consulta prévia (média de 308 consultas). As falhas de comunicação entre equipes e inconsistências nos consentimentos anestésicos impactaram a confiabilidade do dado.</t>
  </si>
  <si>
    <t>Reestruturar o fluxo de consulta pré-anestésica ambulatorial com definição de critérios obrigatórios de agendamento e responsabilidades entre anestesia, cirurgia e marcação cirúrgica. Criar rotina mínima de 48h para avaliação prévia e padronizar os registros em instrumento único. Iniciar a implantação de sistema informatizado (Axreg) para rastreabilidade e controle.</t>
  </si>
  <si>
    <t>Ações pontuais de sensibilização das equipes e reuniões operacionais com anestesistas e enfermagem para revisar o fluxo de marcação. As auditorias clínicas foram iniciadas, porém com baixa abrangência e sem padronização de indicadores. O processo de agendamento permaneceu majoritariamente manual.</t>
  </si>
  <si>
    <t>O desempenho manteve-se abaixo da meta, sem evolução significativa. Houve subnotificação e falhas de rastreabilidade, com predominância de registros manuais e ausência de integração entre setores. As falhas mais críticas envolveram consultas não sinalizadas e inconsistências em termos de consentimento.</t>
  </si>
  <si>
    <t>Iniciar revisão estrutural do processo com definição clara de responsabilidades e implantação piloto do Axreg. Criar protocolo institucional de consulta pré-anestésica obrigatória para todos os procedimentos eletivos e monitoramento sistemático por auditoria clínica.</t>
  </si>
  <si>
    <t>2º Trimestre (Abr–Mai–Jun)</t>
  </si>
  <si>
    <t>O segundo trimestre apresentou tendência de recuperação — o indicador evoluiu de 84% em abril para 93% em junho, o melhor resultado do semestre. O número de procedimentos eletivos sob anestesia aumentou de 1.601 para 1.550 (-3%), enquanto as consultas prévias cresceram 7% (de 1.351 para 1.446), sinalizando melhor aderência ao protocolo. O Centro Cirúrgico manteve crescimento na proporção de pacientes avaliados antes do procedimento (802 em abril para 788 em junho). O Serviço de Imagem apresentou ganho expressivo: 672 exames anestésicos em abril e 612 em junho, com aumento das consultas prévias de 482 para 600. As auditorias mostraram redução nas falhas documentais e maior comunicação entre setores, embora a meta de 95% ainda não tenha sido alcançada.</t>
  </si>
  <si>
    <t>Consolidar a padronização dos fluxos de avaliação pré-anestésica, com foco em adesão integral das equipes e rastreabilidade eletrônica via Axreg. Definir rotina mensal de auditorias e reforçar a comunicação intersetorial. Estabelecer metas intermediárias de 90% e 93% até o atingimento da meta de 95%.</t>
  </si>
  <si>
    <t>Houve maior engajamento operacional: reuniões de alinhamento com equipes, capacitações sobre o protocolo e início do uso formal do Axreg em parte dos serviços. As auditorias clínicas passaram a acompanhar a execução do fluxo.</t>
  </si>
  <si>
    <t>O desempenho de 93% em junho confirmou o impacto das ações implementadas, com redução das falhas de registro e avanço na rastreabilidade. Contudo, persistiram falhas de sinalização no sistema e casos isolados de pareceres realizados no centro cirúrgico.</t>
  </si>
  <si>
    <t>Reforçar o uso obrigatório do Axreg em todos os serviços (centro cirúrgico, obstétrico e imagem). Formalizar POP institucional de pré-anestesia e intensificar as auditorias cruzadas mensais, além de ampliar os treinamentos periódicos.</t>
  </si>
  <si>
    <t>JULHO</t>
  </si>
  <si>
    <t>O indicador apresentou desempenho de 93%, evidenciando consolidação das melhorias implementadas no semestre anterior e fortalecimento da cultura de segurança perioperatória. Observou-se progressiva adesão das equipes médicas e de enfermagem ao protocolo de consulta pré-anestésica ambulatorial, com destaque para o aumento expressivo dos procedimentos eletivos com pré-consulta (1.741 em julho contra 1.446 em junho) e melhoria da rastreabilidade documental. Houve também ampliação da obrigatoriedade da consulta para exames de imagem sob anestesia, que registraram 804 procedimentos anestésicos, representando avanço na integração entre os setores. Entretanto, persistiram falhas no uso do sistema Axreg, com registros incompletos e consultas realizadas no mesmo dia do procedimento, além da ausência de padronização plena nos lançamentos, o que impactou a mensuração do indicador.</t>
  </si>
  <si>
    <t>Garantir que 95% dos pacientes submetidos a procedimentos eletivos sob anestesia/sedação realizem consulta pré-anestésica ambulatorial, assegurando o alcance da meta ≥95%. Implementar ações voltadas à sensibilização dos cirurgiões sobre o fluxo de agendamento e prazos mínimos, promover a adoção obrigatória do sistema Axreg como ferramenta oficial de registro e fortalecer a integração entre marcação cirúrgica, anestesia e enfermagem por meio de reuniões de bate-mapa.</t>
  </si>
  <si>
    <t>Foram executadas ações para fortalecer o cumprimento do protocolo, com ênfase na padronização dos fluxos e na qualificação das equipes. Reforçou-se a obrigatoriedade da consulta pré-anestésica também para exames de imagem, endoscopias, colonoscopias sob anestesia, ampliando a cobertura do processo. As equipes foram sensibilizadas quanto ao correto registro no Axreg, consolidado como ferramenta oficial de rastreabilidade. A integração intersetorial foi intensificada no bate-mapa, permitindo melhor planejamento e redução de falhas.</t>
  </si>
  <si>
    <t>O resultado de 93% manteve evolução consistente em relação aos meses anteriores, demonstrando maior adesão das equipes, porém ainda abaixo da meta. As auditorias evidenciaram avanços na organização do fluxo e na execução das consultas, mas persistiram falhas operacionais, especialmente na utilização do Axreg e na subcaptura de dados. A confiabilidade do indicador ainda depende de ajustes na padronização e na integração do sistema com o Hospital Unimed Chapecó.</t>
  </si>
  <si>
    <t>Adotar medidas corretivas e de padronização para consolidar o processo e alcançar a meta. Tornar obrigatório o registro das consultas no Axreg, com bloqueio de agendamento sem o devido lançamento. Revisar e uniformizar o fluxo documental, fortalecer auditorias cruzadas mensais e implementar capacitação contínua das equipes médicas, de enfermagem e administrativas, consolidando a padronização institucional.</t>
  </si>
  <si>
    <t>AGOSTO</t>
  </si>
  <si>
    <t>O indicador apresentou desempenho satisfatório em 97%, superando a meta institucional e refletindo o impacto positivo das ações corretivas adotadas nos meses anteriores. O resultado demonstra avanço consolidado na adesão das equipes médicas e de enfermagem as ações voltadas ao protocolo, embora ainda existam margens de melhoria na estabilidade e padronização dos registros. Observou-se ampliação do uso do Axreg, com redução de inconsistências documentais. No serviço de imagem, 767 procedimentos anestésicos foram realizados, todos com avaliação ou consulta prévia, reforçando a consolidação do fluxo. Entretanto, o processo ainda requer ajustes na coleta e integração dos dados, garantindo sustentabilidade e confiabilidade das informações.</t>
  </si>
  <si>
    <t>Garantir a realização da consulta pré-anestésica ambulatorial para todos dos pacientes submetidos a procedimentos eletivos e exames de imagem sob anestesia, mantendo o desempenho acima da meta institucional (≥95%). Consolidar o uso obrigatório do sistema Axreg como ferramenta única de registro, revisar periodicamente os fluxos intersetoriais e reforçar a educação permanente das equipes quanto à rastreabilidade e à importância do planejamento pré-operatório</t>
  </si>
  <si>
    <t>Foram intensificadas as auditorias clínicas e acompanhamentos operacionais para monitorar a adesão ao protocolo. As equipes de anestesia e enfermagem atuaram de forma integrada no bate-mapa, assegurando alinhamento entre agendamentos e consultas. O uso do Axreg foi amplamente incorporado, reduzindo falhas de documentação e garantindo a obrigatoriedade da consulta também para exames de imagem sob anestesia ou sedação.</t>
  </si>
  <si>
    <t xml:space="preserve">O resultado de 97% representa superação da meta e comprova a efetividade das ações implementadas. Houve uma significativa redução de inconsistências e a adesão consolidada ao uso do Axreg. A integração entre marcação cirúrgica e anestesia mostrou-se estável e eficaz. </t>
  </si>
  <si>
    <t>Será reavaliado ainda a busca dos dados do indicador junto a unimed chapecó. O Axreg será mantido como sistema oficial e obrigatório de registro das avaliações pré-anestésicas, abrangendo cirurgias e exames de imagem. Permanecem as auditorias cruzadas mensais e o acompanhamento intersetorial, além da educação continuada das equipes para garantir sustentabilidade, qualidade assistencial e cultura de conformidade.</t>
  </si>
  <si>
    <t>SETEMBRO</t>
  </si>
  <si>
    <t xml:space="preserve">O indicador manteve-se dentro da meta institucional, atingindo 95% em setembro, demonstrando estabilidade do desempenho e sustentação dos avanços obtidos nos meses anteriores, embora com leve queda em relação a agosto (97%). A variação está associada ao aumento do volume assistencial, com 1021 pacientes atendidos no centro cirúrgico, sendo 896 procedimentos eletivos e 854 anestesias realizadas. O serviço de imagem também registrou 4710 atendimentos, com 830 procedimentos anestésicos, todos com consulta prévia. Apesar da boa adesão, ainda foram observadas inconsistências no registro das avaliações pré anestesicas no Axreg, especialmente nas realizadas previamente antes do procedimento cirúrgico. </t>
  </si>
  <si>
    <t>Manter o indicador acima da meta de 95%, consolidando a prática da consulta pré-anestésica ambulatorial para todos os pacientes eletivos e exames de imagem sob anestesia. Reforçar a padronização dos registros no Axreg e o controle das avaliações pré anestesicas através da utilização do axReg. Garantir uniformidade na coleta e análise de dados e promover ações educativas contínuas voltadas à sustentabilidade do processo.</t>
  </si>
  <si>
    <t>Foram mantidas as ações operacionais e de auditoria, com reforço no acompanhamento das agendas de consulta e anestesia. As equipes atuaram de forma integrada no bate-mapa, ajustando fluxos diante do aumento de volume. O uso do Axreg foi ampliado e tornou-se obrigatória a consulta ou avaliação pré anestesica também para exames de imagem.</t>
  </si>
  <si>
    <t>O resultado de 95% confirma o cumprimento da meta e a manutenção do processo em patamar estável, apesar do crescimento da demanda. Observou-se boa adesão e melhoria contínua na rastreabilidade, mas ainda persistem falhas pontuais na padronização e integração sistêmica dos dados.</t>
  </si>
  <si>
    <t>Implementar padronização definitiva do fluxo de registro e coleta de dados no Axreg, com automação entre o sistema de agendamento cirúrgico e o de imagem. Fortalecer auditorias cruzadas intersetoriais e instituir checagem eletrônica obrigatória antes do agendamento. Manter capacitações mensais com foco em consolidação da governança clínica e sustentabilidade dos resultados.</t>
  </si>
  <si>
    <t>OUTUBRO</t>
  </si>
  <si>
    <t>NOVEMBRO</t>
  </si>
  <si>
    <t>DEZEMBRO</t>
  </si>
  <si>
    <t>INCIDÊNCIA DE DOR AGUDA NO PERÍODO INTRAOPERATÓRIO ATÉ A ALTA ANESTÉSICA</t>
  </si>
  <si>
    <t>Nº de pacientes que apresentaram dor aguda no período intraoperatório até a alta anestésica da SRPA ou transferência para UTI.</t>
  </si>
  <si>
    <t>Nº de pacientes submetidos a procedimentos sob anestesia/sedação.</t>
  </si>
  <si>
    <t>META</t>
  </si>
  <si>
    <t>&lt;5%</t>
  </si>
  <si>
    <t>JANEIRO</t>
  </si>
  <si>
    <t>O mês apresentou incidência de 5% de pacientes com dor intensa ou insuportável e de difícil controle, situando-se no limite da meta estabelecida (&lt;5%). Foram 75 casos de dor intensa entre 1.472 pacientes anestesiados, evidenciando fragilidade no manejo analgésico intra e pós-operatório imediato. Apesar de 793 pacientes (54%) não relatarem dor e 121 (8%) apresentarem dor leve a moderada, o número de casos graves ainda indica inconsistência na efetividade da analgesia preventiva. As auditorias apontaram ausência de padronização de condutas analgésicas, uso irregular de escalas de dor e planos anestésicos genéricos, sem individualização conforme o tipo cirúrgico. Além disso, a falha de comunicação entre o centro cirúrgico e a SRPA contribuiu para o subtratamento analgésico no pós-operatório.</t>
  </si>
  <si>
    <t>Diante do resultado de 5% em janeiro e da manutenção acima do nível ideal, foi identificada a necessidade de estruturar um plano de ação voltado à uniformização do manejo analgésico, tanto intraoperatório quanto na SRPA. As auditorias apontaram ausência de protocolo institucional, uso irregular das escalas de dor, planos anestésicos pouco individualizados e falhas na comunicação entre anestesia e enfermagem. O objetivo definido foi reduzir a incidência de dor aguda abaixo de 4%, com melhor registro e avaliação sistemática da dor.</t>
  </si>
  <si>
    <t>Neste trimestre, as ações foram pontuais e não sistematizadas. Houve iniciativas isoladas de anestesistas para ajustar analgesia conforme tipo cirúrgico e orientações informais durante os plantões, mas sem formalização institucional.</t>
  </si>
  <si>
    <t>A análise dos resultados mostrou pequena redução na taxa de dor intensa, mas sem estabilidade.
Janeiro apresentou 5% (75 casos/1.472 anestesias),
Fevereiro reduziu para 4% (67 casos/1.535),
Março manteve 4% (62 casos/1.533).
O período apresentou instabilidade do indicador, baixa adesão protocolo  e incosistencias analgésica. Houve avanços pontuais, mas sem consolidação de resultados sustentáveis.</t>
  </si>
  <si>
    <t>Com base nos achados, foram definidas ações estruturadas para o trimestre seguinte, incluindo a elaboração e implantação de um protocolo de avaliação e controle da dor aguda perioperatória, padronização do uso da escala EVA, capacitação das equipes de anestesia e enfermagem, e revisão dos fluxos de comunicação entre o centro cirúrgico e a SRPA. Também foi proposta a inclusão do tema nas auditorias clínicas mensais, como forma de reforçar o monitoramento contínuo do processo.</t>
  </si>
  <si>
    <t>FEVEREIRO</t>
  </si>
  <si>
    <t>Houve leve redução da incidência para 4% (67 casos/1.535 anestesias), mantendo o indicador próximo da meta. A maior parte dos pacientes, 810 (53%), permaneceu sem relato de dor, enquanto 121 (8%) apresentaram dor leve a moderada. A diminuição dos casos graves demonstra avanço discreto, porém persistem falhas na avaliação sistemática da dor e na reavaliação em SRPA, com uso não padronizado das escalas. Parte dos pacientes recebeu analgesia inadequada ao tipo de cirurgia, reforçando fragilidade no manejo analgésico de procedimentos regionais.</t>
  </si>
  <si>
    <t>MARÇO</t>
  </si>
  <si>
    <t>O mês manteve incidência de 4% (62 casos/1.533 anestesias), sem avanço expressivo no controle da dor. Do total de pacientes, 801 (52%) não apresentaram dor, enquanto 147 (10%) referiram dor leve a moderada. Embora o percentual de dor intensa tenha se mantido estável, houve relatos de subnotificação de dor leve, sugerindo que o controle e o registro ainda não estão consolidados. As auditorias demonstraram adesão parcial ao protocolo de manejo da dor aguda, porém persistem fragilidades nas intervenções analgésicas, especialmente nas anestesias regionais.</t>
  </si>
  <si>
    <t>ABRIL</t>
  </si>
  <si>
    <t>Observou-se melhora significativa no controle da dor, com redução da incidência para 3% (56 casos/1.622 anestesias). A maioria dos pacientes, 896 (55%), não apresentou dor, e 125 (8%) relataram dor leve a moderada, indicando melhor equilíbrio entre prevenção e tratamento analgésico. Apesar do avanço, persistem falhas pontuais na documentação das reavaliações e instabilidade no registro da intensidade da dor. As auditorias evidenciaram adesão crescente das equipes e melhor comunicação entre anestesia e SRPA, com início do uso sistemático de escalas de dor (EVA) por parte de alguns profissionais.</t>
  </si>
  <si>
    <t xml:space="preserve">"A partir da análise do primeiro trimestre, o planejamento concentrou-se em institucionalizar o protocolo de dor aguda, fortalecer a comunicação entre anestesia e SRPA e garantir reavaliações sistemáticas com registro em prontuário.
O foco foi consolidar a uniformidade de condutas analgésicas e reduzir a variabilidade entre profissionais e turnos."
</t>
  </si>
  <si>
    <t xml:space="preserve">"No decorrer do segundo trimestre, houve aumento da adesão ao uso da escala EVA e melhor integração entre as equipes multiprofissionais.
Os anestesistas passaram a aplicar condutas analgésicas mais individualizadas, especialmente em cirurgias ortopédicas e ginecológicas, e a documentação na SRPA tornou-se mais consistente.
A abertura do ambulatorio de dor e a incorporação de um anestesista especialista em dor ao serviço junto com as discussões e apresentações dos dados e auditorias começaram a gerar engajamento visível entre as equipes."
</t>
  </si>
  <si>
    <t xml:space="preserve">"Os resultados demonstraram tendência clara de melhoria, com estabilização próxima à meta institucional:
Abril apresentou 3% (56 casos/1.622 anestesias), refletindo as primeiras melhorias estruturais;
Maio teve retrocesso para 6% (96 casos/1.607), possivelmente associado ao aumento de volume e complexidade cirúrgica;
Junho recuperou o desempenho, voltando a 3% (51 casos/1.530).
A média trimestral foi 4%, consolidando o indicador dentro da meta, porém ainda com dependência de reforço educativo e auditoria sistemática. Houve redução de variação e melhoria significativa dos resultados. Ainda que o pico de maio revele vulnerabilidade operacional, o semestre encerra com tendência de consolidação."
</t>
  </si>
  <si>
    <t>"Com base na consolidação dos resultados, o trimestre encerrou com a formalização do protocolo institucional de dor aguda e a inclusão do tema nas auditorias clínicas periódicas.
As próximas etapas envolvem monitoramento contínuo dos registros em SRPA, feedback estruturado aos anestesistas e equipes de enfermagem, e revisão periódica das condutas analgésicas por tipo de cirurgia."
.</t>
  </si>
  <si>
    <t>MAIO</t>
  </si>
  <si>
    <t>O mês representou um retrocesso no desempenho, com aumento da taxa para 6% (96 casos/1.607 anestesias) — elevação de 2% em relação ao mês anterior. Entre os pacientes avaliados, 888 (55%) não apresentaram dor e 154 (10%) relataram dor leve a moderada, sugerindo desequilíbrio no controle analgésico. O aumento pode estar relacionado ao crescimento do número e da complexidade dos procedimentos, e as auditorias evidenciaram falhas na administração de analgesia e no monitoramento da dor em pacientes transferidos para UTI, além da ausência de registros de intervenções analgésicas adequadas.</t>
  </si>
  <si>
    <t>JUNHO</t>
  </si>
  <si>
    <t>O indicador retornou ao patamar de 3% (51 casos/1.530 anestesias), mostrando recuperação do controle analgésico. A maioria dos pacientes, 874 (57%), não apresentou dor, enquanto 139 (9%) relataram dor leve a moderada. Esses dados indicam maior aderência às estratégias analgésicas e melhoria na atuação das equipes de enfermagem e anestesia, com registros mais completos das escalas de dor. Contudo, a abordagem ainda carece de sistematização plena, com falhas observadas na continuidade da analgesia, especialmente em procedimentos realizados no final dos turnos.</t>
  </si>
  <si>
    <t>O mês manteve 4% (64 casos/1.781 anestesias), dentro da meta, embora com pequeno aumento em relação ao mês anterior. Entre os pacientes, 946 (53%) não apresentaram dor e 124 (7%) tiveram dor leve a moderada, o que sugere estabilidade clínica, porém necessidade de maior uniformidade na avaliação da dor. As auditorias mostraram melhor padronização das condutas e maior consistência documental, e nesse período iniciou-se a revisão do protocolo de dor, em conjunto com a equipe hospitalar e o ambulatório de dor.</t>
  </si>
  <si>
    <t>O planejamento do trimestre concentrou-se na revisão do protocolo institucional de dor e implantação do ambulatorio , aprimorado a partir dos resultados do semestre anterior. O objetivo foi garantir adesão integral das equipes, fortalecer a rastreabilidade dos registros e incorporar a avaliação da dor aos painéis de desempenho assistencial</t>
  </si>
  <si>
    <t xml:space="preserve">"Durante o período, foram realizadas reuniões multiprofissionais de  revisão e validação do protocolo, alinhamentos formais sobre registro e reavaliação da dor, e implantação gradativa do novo formulário de acompanhamento em SRPA.
As equipes mantiveram uso consistente da escala EVA, e o ambulatório iniciou sua atuação no tratamento dor de casos críticos e revisão de condutas analgésicas."
</t>
  </si>
  <si>
    <t xml:space="preserve">"Os resultados confirmaram manutenção da estabilidade do indicador, melhor uniformidade das práticas e melhoria contínua na documentação.
O processo analgésico apesar de ter apresentado redução de variabilidade, ainda é um desafio a ser superado."
</t>
  </si>
  <si>
    <t>O protocolo foi revisado e descrito pelo anestesiologista especialista em dor, e atualmente segue em análise pela equipe de farmácia, com o objetivo de garantir a padronização das medicações analgésicas utilizadas. As ações para o próximo trimestre estarão concentradas na capacitação das equipes multiprofissionais e na implantação efetiva do novo protocolo institucional de dor aguda, assegurando alinhamento técnico, segurança medicamentosa e consolidação das práticas assistenciais padronizadas.</t>
  </si>
  <si>
    <t>Embora a nova versão do protocolo ainda não tenha sido implantada, o indicador apresentou 3% (58 casos/1.720 anestesias), correspondendo ao melhor resultado do semestre. A maioria dos pacientes, 917 (53%), não relatou dor, enquanto 147 (9%) apresentaram dor leve a moderada, indicando melhor controle analgésico e adesão consolidada às condutas existentes. As auditorias evidenciaram documentação consistente e intervenções adequadas, com manutenção da segurança e conforto perioperatório.</t>
  </si>
  <si>
    <t>O mês manteve 4% (67 casos/1.823 anestesias), permanecendo dentro da meta e demonstrando controle efetivo da dor durante o período intra e pós-anestésico. A maior parte dos pacientes, 950 (52%), não apresentou dor, enquanto 110 (6%) relataram dor leve a moderada, confirmando estabilidade do manejo analgésico. As auditorias identificaram poucas falhas, relacionadas à subnotificação de dor leve e inconsistências em cirurgias de curta duração. O controle analgésico mostrou-se efetivo e seguro, sem intercorrências relevantes.</t>
  </si>
  <si>
    <t>INCIDÊNCIA DE ABREVIAÇÃO DO JEJUM PROLONGADO</t>
  </si>
  <si>
    <t>Média anual</t>
  </si>
  <si>
    <t>N° de pacientes que receberam o suplemento para abreviação do jejum prolongado</t>
  </si>
  <si>
    <t>N° de pacientes inclusos no protocolo de abreviação de Jejum</t>
  </si>
  <si>
    <t>&gt;60%</t>
  </si>
  <si>
    <t>O mês de janeiro apresentou uma adesão muito abaixo da meta estabelecida, com apenas 32% dos pacientes incluídos no protocolo recebendo o suplemento. A análise das auditorias revelou diversas falhas sistêmicas, especialmente nos casos de internações por urgência/emergência, onde não houve registro de avaliação pré-anestésica nem prescrição do suplemento.
Houve ainda subutilização do protocolo entre pacientes eletivos, mesmo com critérios de inclusão claros. Muitos pacientes com consulta anestésica agendada não tiveram o suplemento prescrito ou administrado, e quando houve indicação, a recusa do paciente não foi devidamente registrada ou gerenciada. A ausência de integração entre a prescrição médica e a execução de enfermagem comprometeu significativamente os resultados.</t>
  </si>
  <si>
    <r>
      <t xml:space="preserve">Durante o trimestre, a adesão manteve-se entre 32% e 35%, muito abaixo da meta institucional de &gt;60%, indicando falhas estruturais e não apenas operacionais. As auditorias apontaram ausência de integração entre prescrição médica, execução de enfermagem e registro em prontuário eletrônico, bem como baixa rastreabilidade do processo.
</t>
    </r>
    <r>
      <rPr>
        <b/>
        <sz val="11"/>
        <color rgb="FF000000"/>
        <rFont val="Aptos Narrow"/>
        <family val="2"/>
        <scheme val="minor"/>
      </rPr>
      <t>Principais causas identificadas:</t>
    </r>
    <r>
      <rPr>
        <sz val="11"/>
        <color rgb="FF000000"/>
        <rFont val="Aptos Narrow"/>
        <family val="2"/>
        <scheme val="minor"/>
      </rPr>
      <t xml:space="preserve">
Falta de padronização do fluxo assistencial entre anestesia, enfermagem e nutrição.
Prescrição ausente ou não concretizada na consulta pré-anestesica.
Subutilização do protocolo em pacientes eletivos e ausência de fluxo adaptado para internações de urgências.
Falta de registro formal de recusa e ausência de condutas alternativas.
Falhas na avaliação glicêmica e ausência de checagem do horário de administração.
Fragmentação da comunicação entre unidades (internação, anestesia e centro cirúrgico).
</t>
    </r>
    <r>
      <rPr>
        <b/>
        <sz val="11"/>
        <color rgb="FF000000"/>
        <rFont val="Aptos Narrow"/>
        <family val="2"/>
        <scheme val="minor"/>
      </rPr>
      <t xml:space="preserve">Objetivo: </t>
    </r>
    <r>
      <rPr>
        <sz val="11"/>
        <color rgb="FF000000"/>
        <rFont val="Aptos Narrow"/>
        <family val="2"/>
        <scheme val="minor"/>
      </rPr>
      <t xml:space="preserve">
Alcançar mínimo de 45% de adesão ao protocolo até o final do 2º trimestre de 2025, por meio da padronização dos fluxos, capacitação e integração dos registros.</t>
    </r>
  </si>
  <si>
    <r>
      <t xml:space="preserve">Sensibilização e capacitação técnica: início de treinamento com foco na importância fisiológica do protocolo e impacto clínico do jejum prolongado.
Auditorias clínicas mensais: análise amostral de prontuários e entrevistas com equipes de anestesia e enfermagem.
Discussão em comitê multidisciplinar para definição de fluxo padrão e identificação de gargalos operacionais.
Elaboração de material educativo para pacientes (folder explicativo sobre suplemento e tempo de jejum).
Planejamento de inclusão de campo obrigatório no prontuário eletrônico (“Paciente incluído no protocolo / motivo da não adesão”).
</t>
    </r>
    <r>
      <rPr>
        <b/>
        <sz val="11"/>
        <color rgb="FF000000"/>
        <rFont val="Aptos Narrow"/>
        <family val="2"/>
        <scheme val="minor"/>
      </rPr>
      <t>Resultados parciais:</t>
    </r>
    <r>
      <rPr>
        <sz val="11"/>
        <color rgb="FF000000"/>
        <rFont val="Aptos Narrow"/>
        <family val="2"/>
        <scheme val="minor"/>
      </rPr>
      <t xml:space="preserve">
Melhoria discreta em fevereiro, porém sem consolidação.
Persistência de falhas na execução prática e no registro da administração.
Identificação de resistência de parte da equipe médica e ausência de liderança formal no processo.</t>
    </r>
  </si>
  <si>
    <t>Adesão média: 33%, sem tendência de melhoria sustentada.
onformidade das auditorias do protocolo: Prescrição (52%) / Administração (48%).
As ações pontuais não geraram mudança comportamental nem sistêmica.
O processo ainda depende da iniciativa individual ou rotina institucionalizada.</t>
  </si>
  <si>
    <r>
      <t xml:space="preserve">Instituir planilha de acompanhamento/registro do protocolo de abreviação do jejum na consulta pré-anestésica → Prescrição
Designar anestesista para lideranças do protocolo.
Definir monitoramento mensal com feedback individualizado às equipes envolvidas.
</t>
    </r>
    <r>
      <rPr>
        <b/>
        <sz val="11"/>
        <color rgb="FF000000"/>
        <rFont val="Aptos Narrow"/>
        <family val="2"/>
        <scheme val="minor"/>
      </rPr>
      <t>Meta para o próximo ciclo (2º trimestre):</t>
    </r>
    <r>
      <rPr>
        <sz val="11"/>
        <color rgb="FF000000"/>
        <rFont val="Aptos Narrow"/>
        <family val="2"/>
        <scheme val="minor"/>
      </rPr>
      <t xml:space="preserve">
</t>
    </r>
    <r>
      <rPr>
        <b/>
        <sz val="11"/>
        <color rgb="FFFF0000"/>
        <rFont val="Aptos Narrow"/>
        <family val="2"/>
        <scheme val="minor"/>
      </rPr>
      <t>Elevar adesão média para ≥40%.</t>
    </r>
  </si>
  <si>
    <t>Em fevereiro, observou-se discreta melhora, embora a adesão continue insatisfatória. As falhas persistem, sobretudo na falta de registros que comprovem a inclusão formal dos pacientes no protocolo, mesmo em casos com todos os critérios atendidos. Além disso, alguns pacientes recusaram o suplemento, e essa recusa não foi sucedida por condutas alternativas nem orientações formais.
Também foi identificado que a consulta pré-anestésica nem sempre resultava na prescrição do suplemento, o que evidencia a necessidade de padronização do processo e maior engajamento da equipe de anestesia. Em pacientes de urgência, não houve adaptação do fluxo assistencial, mesmo sendo tecnicamente possível.</t>
  </si>
  <si>
    <t xml:space="preserve">"O mês de março representou um retrocesso no desempenho, voltando ao mesmo nível de janeiro. O número absoluto de pacientes no protocolo aumentou, mas a proporção de adesão manteve-se baixa. As auditorias revelaram que, mesmo quando o suplemento era indicado na consulta pré-anestésica, sua prescrição não era concretizada no prontuário eletrônico.
Não foram encontrados registros consistentes de horário de administração e avaliação glicêmica prévia, especialmente em pacientes diabéticos. A fragmentação das informações entre os setores de internação, anestesia e centro cirúrgico agrava o cenário, dificultando a rastreabilidade das ações e a responsabilização das falhas."											</t>
  </si>
  <si>
    <t xml:space="preserve">"Em abril, a adesão ao protocolo atingiu o melhor resultado do semestre, mas ainda está aquém da meta mínima aceitável. Esse leve avanço pode ter sido reflexo de ações educativas realizadas no final de março, mas não foi suficiente para consolidar uma mudança sistêmica.
A análise crítica aponta que a ausência de um fluxo assistencial bem definido e automatizado é a principal barreira. Casos auditados indicam que mesmo com consulta pré-anestésica adequada, o suplemento não era prescrito, ou quando prescrito, a administração não acontecia dentro do tempo recomendado, principalmente nos primeiros horários da manhã. Isso reflete falhas na comunicação entre setores e ausência de monitoramento ativo."											</t>
  </si>
  <si>
    <r>
      <t xml:space="preserve">Durante o 2º trimestre, o indicador apresentou leve oscilação, com pico de 41% em abril, queda para 38% em maio e manutenção em 40% em junho.
Apesar de avanços pontuais, a adesão ao protocolo segue aquém da meta institucional.
</t>
    </r>
    <r>
      <rPr>
        <b/>
        <sz val="11"/>
        <color rgb="FF000000"/>
        <rFont val="Aptos Narrow"/>
        <family val="2"/>
        <scheme val="minor"/>
      </rPr>
      <t>Principais causas identificadas:</t>
    </r>
    <r>
      <rPr>
        <sz val="11"/>
        <color rgb="FF000000"/>
        <rFont val="Aptos Narrow"/>
        <family val="2"/>
        <scheme val="minor"/>
      </rPr>
      <t xml:space="preserve">
Ausência de um fluxo assistencial automatizado entre prescrição, enfermagem e administração.
Falta de uniformidade na avaliação pré-anestésica, com prescrições ausentes e orientações insuficientes aos pacientes.
Administração fora do tempo recomendado, sobretudo em cirurgias nos primeiros horários da manhã.
Baixa rastreabilidade documental, sem registro de horário ou justificativas de não adesão.
Inconsistência nas ações educativas para os profissionais envolvidos.
</t>
    </r>
    <r>
      <rPr>
        <b/>
        <sz val="11"/>
        <color rgb="FF000000"/>
        <rFont val="Aptos Narrow"/>
        <family val="2"/>
        <scheme val="minor"/>
      </rPr>
      <t xml:space="preserve"> Objetivos para o proximo trimestre: </t>
    </r>
    <r>
      <rPr>
        <sz val="11"/>
        <color rgb="FF000000"/>
        <rFont val="Aptos Narrow"/>
        <family val="2"/>
        <scheme val="minor"/>
      </rPr>
      <t xml:space="preserve">
</t>
    </r>
    <r>
      <rPr>
        <b/>
        <sz val="11"/>
        <color rgb="FFFF0000"/>
        <rFont val="Aptos Narrow"/>
        <family val="2"/>
        <scheme val="minor"/>
      </rPr>
      <t>Elevar a adesão média para ≥45% até setembro/2025, com padronização do fluxo de execução e monitoramento ativo</t>
    </r>
    <r>
      <rPr>
        <sz val="11"/>
        <color rgb="FF000000"/>
        <rFont val="Aptos Narrow"/>
        <family val="2"/>
        <scheme val="minor"/>
      </rPr>
      <t>.</t>
    </r>
  </si>
  <si>
    <r>
      <rPr>
        <b/>
        <sz val="11"/>
        <color rgb="FF000000"/>
        <rFont val="Aptos Narrow"/>
        <family val="2"/>
        <scheme val="minor"/>
      </rPr>
      <t>Ações implementadas ou em andamento:</t>
    </r>
    <r>
      <rPr>
        <sz val="11"/>
        <color rgb="FF000000"/>
        <rFont val="Aptos Narrow"/>
        <family val="2"/>
        <scheme val="minor"/>
      </rPr>
      <t xml:space="preserve">
Reforço das ações educativas com foco na equipe de enfermagem e anestesia — incluindo revisão dos tempos de administração e benefícios clínicos da abreviação do jejum.
Ampliação das auditorias clínicas conjuntas entre anestesia, nutrição e enfermagem, com ênfase em rastreabilidade documental e consistência de prescrição.
Discussão com a equipe médica (anestesistas) e nutrição sobre a necessidade de revisão do fluxo de jejum em pacientes do primeiro horario da agenda da manhã, especialmente os internados.
Envolvimento do setor de nutrição no acompanhamento pré-operatório de pacientes elegíveis.
</t>
    </r>
  </si>
  <si>
    <r>
      <t xml:space="preserve">O periodo  mostrou avanços discretos, porém sem consolidação. O processo ainda depende de iniciativa individual e não está bem  institucionalizado especialmente na clareza na aplicação do protocolo em determinado grupos de pacientes ( primeiras cirurgias da manhã, pacientes internados, procedimentos especificos...). Persistem lacunas de integração entre a prescrição do suplemento e a utilização, alem de baixa conformidade nas indicações.
</t>
    </r>
    <r>
      <rPr>
        <b/>
        <sz val="11"/>
        <color rgb="FF000000"/>
        <rFont val="Aptos Narrow"/>
        <family val="2"/>
        <scheme val="minor"/>
      </rPr>
      <t>Evidências de monitoramento:</t>
    </r>
    <r>
      <rPr>
        <sz val="11"/>
        <color rgb="FF000000"/>
        <rFont val="Aptos Narrow"/>
        <family val="2"/>
        <scheme val="minor"/>
      </rPr>
      <t xml:space="preserve">
</t>
    </r>
    <r>
      <rPr>
        <b/>
        <sz val="11"/>
        <color rgb="FFFF0000"/>
        <rFont val="Aptos Narrow"/>
        <family val="2"/>
        <scheme val="minor"/>
      </rPr>
      <t>Média trimestral de adesão: 39,6%</t>
    </r>
    <r>
      <rPr>
        <sz val="11"/>
        <color rgb="FF000000"/>
        <rFont val="Aptos Narrow"/>
        <family val="2"/>
        <scheme val="minor"/>
      </rPr>
      <t xml:space="preserve">.
Conformidade nas auditorias:
</t>
    </r>
    <r>
      <rPr>
        <b/>
        <sz val="11"/>
        <color theme="4"/>
        <rFont val="Aptos Narrow"/>
        <family val="2"/>
        <scheme val="minor"/>
      </rPr>
      <t>Prescrição: 56%</t>
    </r>
    <r>
      <rPr>
        <sz val="11"/>
        <color theme="4"/>
        <rFont val="Aptos Narrow"/>
        <family val="2"/>
        <scheme val="minor"/>
      </rPr>
      <t xml:space="preserve">
</t>
    </r>
    <r>
      <rPr>
        <b/>
        <sz val="11"/>
        <color theme="4"/>
        <rFont val="Aptos Narrow"/>
        <family val="2"/>
        <scheme val="minor"/>
      </rPr>
      <t>Administração: 51%</t>
    </r>
    <r>
      <rPr>
        <sz val="11"/>
        <color theme="4"/>
        <rFont val="Aptos Narrow"/>
        <family val="2"/>
        <scheme val="minor"/>
      </rPr>
      <t xml:space="preserve">
</t>
    </r>
    <r>
      <rPr>
        <b/>
        <sz val="11"/>
        <color theme="4"/>
        <rFont val="Aptos Narrow"/>
        <family val="2"/>
        <scheme val="minor"/>
      </rPr>
      <t>Registro de horário: 47%</t>
    </r>
    <r>
      <rPr>
        <sz val="11"/>
        <color theme="4"/>
        <rFont val="Aptos Narrow"/>
        <family val="2"/>
        <scheme val="minor"/>
      </rPr>
      <t xml:space="preserve">
</t>
    </r>
    <r>
      <rPr>
        <sz val="11"/>
        <color rgb="FF000000"/>
        <rFont val="Aptos Narrow"/>
        <family val="2"/>
        <scheme val="minor"/>
      </rPr>
      <t xml:space="preserve">
</t>
    </r>
    <r>
      <rPr>
        <b/>
        <sz val="11"/>
        <color rgb="FF000000"/>
        <rFont val="Aptos Narrow"/>
        <family val="2"/>
        <scheme val="minor"/>
      </rPr>
      <t>Principais falhas identificadas:</t>
    </r>
    <r>
      <rPr>
        <sz val="11"/>
        <color rgb="FF000000"/>
        <rFont val="Aptos Narrow"/>
        <family val="2"/>
        <scheme val="minor"/>
      </rPr>
      <t xml:space="preserve">
Falta de prescrição ou prescrição fora do tempo ideal.
Recusa do paciente em tomar o suplemento por falta de conhecimento dos beneficios.
Inconsistência no registro de administração no PEP dificultando o monitoramento fididigno do indicador.
Ausência de responsável designado para checagem diária no bate-mapa cirurgico.</t>
    </r>
  </si>
  <si>
    <r>
      <rPr>
        <b/>
        <sz val="11"/>
        <color rgb="FF000000"/>
        <rFont val="Aptos Narrow"/>
        <family val="2"/>
        <scheme val="minor"/>
      </rPr>
      <t>Ações corretivas e padronização propostas:</t>
    </r>
    <r>
      <rPr>
        <sz val="11"/>
        <color rgb="FF000000"/>
        <rFont val="Aptos Narrow"/>
        <family val="2"/>
        <scheme val="minor"/>
      </rPr>
      <t xml:space="preserve">
Implantar campo obrigatório no PEP: “Paciente incluído no protocolo de abreviação do jejum / motivo de não adesão”.
Definir responsabilidade formal: anestesista como prescritor líder e participação do bate-mapa como metodo de monitorar os pacientes não incluidos no protocolo.
Instituir rotina de devolutiva mensal das auditorias, com feedback individualizado aos anestesistas.
Ampliar envolvimento da nutrição clínica, atuando na busca ativa de pacientes elegíveis e no acompanhamento das recusas.
</t>
    </r>
    <r>
      <rPr>
        <b/>
        <sz val="11"/>
        <color theme="4"/>
        <rFont val="Aptos Narrow"/>
        <family val="2"/>
        <scheme val="minor"/>
      </rPr>
      <t>Meta para o próximo ciclo (3º trimestre):</t>
    </r>
    <r>
      <rPr>
        <sz val="11"/>
        <color rgb="FF000000"/>
        <rFont val="Aptos Narrow"/>
        <family val="2"/>
        <scheme val="minor"/>
      </rPr>
      <t xml:space="preserve">
Atingir ≥45% de adesão ao protocolo.
Consolidar registro e rastreabilidade no sistema eletrônico.
Melhorar a integração entre anestesia, enfermagem e nutrição.</t>
    </r>
  </si>
  <si>
    <t xml:space="preserve">"Em maio, houve nova queda na adesão. O número de pacientes no protocolo aumentou, mas sem uma resposta proporcional na cobertura com suplemento. Persistem falhas graves, como:
Prescrições feitas, mas não administradas;
Administrações fora do tempo adequado;
Ausência de critérios uniformes na avaliação anestésica.
Os registros seguem incompletos e com baixa consistência documental, impossibilitando ações corretivas assertivas e comprometendo a rastreabilidade institucional."											</t>
  </si>
  <si>
    <t xml:space="preserve">"Em junho, a taxa de adesão permaneceu abaixo da meta, demonstrando uma estagnação nos avanços obtidos em abril. A principal fragilidade segue sendo a falta de sistematização do protocolo de ponta a ponta, da avaliação inicial à checagem pós-administração.
A falta de clareza sobre quem é o responsável final pela prescrição e acompanhamento da administração gera confusão entre equipes e deixa o processo vulnerável. Apesar de alguns profissionais já aplicarem o protocolo com fidelidade, esses casos ainda são exceções, e não uma prática institucionalizada."											</t>
  </si>
  <si>
    <r>
      <t xml:space="preserve">O mês de julho manteve baixo desempenho (40%), refletindo ausência de melhoria em relação a junho (40%) e confirmando não conformidade com a meta institucional de &gt;60%.  Dos 728 pacientes incluídos no protocolo, apenas 293 receberam o suplemento, o que indica que mais da metade dos pacientes (57%) permaneceram em jejum prolongado. As auditorias clínicas do período evidenciaram média de conformidade do protocolo de jejum e suplementação de 51%, com deficiências em prescrição (52%) e registro (48%). </t>
    </r>
    <r>
      <rPr>
        <b/>
        <sz val="10"/>
        <color rgb="FF000000"/>
        <rFont val="Aptos Narrow"/>
        <family val="2"/>
        <scheme val="minor"/>
      </rPr>
      <t xml:space="preserve">Persistem falhas recorrentes: </t>
    </r>
    <r>
      <rPr>
        <sz val="10"/>
        <color rgb="FF000000"/>
        <rFont val="Aptos Narrow"/>
        <family val="2"/>
        <scheme val="minor"/>
      </rPr>
      <t xml:space="preserve">ausência de prescrição no prontuário, omissão de registro da administração e comunicação ineficiente entre anestesia, paciente e enfermagem. Os registros errados/incompletos no PEP  impactam confiabilidade e rastreabilidade dos dados.											</t>
    </r>
  </si>
  <si>
    <r>
      <t xml:space="preserve">Durante o 3º trimestre, manteve-se o desempenho abaixo da meta institucional, com leve oscilação entre 40% e 43%, seguido de queda para 42% em setembro. A adesão ao protocolo manteve-se estável, persistindo as falhas estruturais e operacionais no processo de prescrição, execução e registro do suplemento.
</t>
    </r>
    <r>
      <rPr>
        <b/>
        <sz val="11"/>
        <color rgb="FF000000"/>
        <rFont val="Aptos Narrow"/>
        <family val="2"/>
        <scheme val="minor"/>
      </rPr>
      <t>Principais causas identificadas:</t>
    </r>
    <r>
      <rPr>
        <sz val="11"/>
        <color rgb="FF000000"/>
        <rFont val="Aptos Narrow"/>
        <family val="2"/>
        <scheme val="minor"/>
      </rPr>
      <t xml:space="preserve">
Ausência ou atraso na prescrição médica do suplemento na consulta pré anestesica ou para pacientes internados.
Falhas na administração dentro do tempo recomendado, especialmente nas primeiras cirurgias do dia.
Registros incompletos ou inconsistentes no prontuário eletrônico.
Dificuldade de coleta consolidada do indicador nos painéis institucionais.
Falta de clareza nos critérios de inclusão em casos de urgência.
Resistência de parte da equipe cirurgica e falhas na comunicação entre anestesia, enfermagem e nutrição.
Tempo insuficiente entre internação(gestão de acesso) e administração do suplemento.
</t>
    </r>
    <r>
      <rPr>
        <b/>
        <sz val="11"/>
        <color rgb="FF000000"/>
        <rFont val="Aptos Narrow"/>
        <family val="2"/>
        <scheme val="minor"/>
      </rPr>
      <t>Objetivos para o ciclo:</t>
    </r>
    <r>
      <rPr>
        <sz val="11"/>
        <color rgb="FF000000"/>
        <rFont val="Aptos Narrow"/>
        <family val="2"/>
        <scheme val="minor"/>
      </rPr>
      <t xml:space="preserve">
Elevar a adesão média para ≥50% até o final do próximo trimestre.
Consolidar a rastreabilidade dos registros no PEP e nos painéis hospitalares.
Revisar e atualizar o protocolo institucional de abreviação do jejum com base nas diretrizes atuais.
Uniformizar o fluxo assistencial entre anestesia, centro cirúrgico, internação cirúrgica e nutrição.
Implantar cartilha de orientação ao paciente que passa por consulta pré anestesica.</t>
    </r>
  </si>
  <si>
    <r>
      <rPr>
        <b/>
        <sz val="11"/>
        <color rgb="FF000000"/>
        <rFont val="Aptos Narrow"/>
        <family val="2"/>
        <scheme val="minor"/>
      </rPr>
      <t>Ações executadas e em andamento</t>
    </r>
    <r>
      <rPr>
        <sz val="11"/>
        <color rgb="FF000000"/>
        <rFont val="Aptos Narrow"/>
        <family val="2"/>
        <scheme val="minor"/>
      </rPr>
      <t>:
Reunião multiprofissional entre anestesia, centro cirúrgico, unidade de internação cirúrgica e nutrição clínica para revisar fluxos, corrigir falhas e ampliar a adesão.
Integração das análises do indicador entre hospital e serviço de anestesia, unificando a base de dados e a leitura de resultados.
Atualização do folder informativo para pacientes, incluindo a orientação: “Caso não haja horário definido para cirurgia, ofertar o suplemento X horas antes.” (material em revisão final para envio ao marketing até 22/10).
Revisão das diretrizes de referência (Guidelines), mantendo o jejum para sólidos em 6 horas, conforme consenso multiprofissional.
Definição de um painel único para controle do indicador e centralização do fechamento dos resultados de jejum externo.
Inclusão no histórico do Centro Cirúrgico da pergunta: “Paciente optou por não fazer uso do suplemento?”, visando rastreabilidade da recusa.
Revisão dos tempos de tolerância ao uso dos agonistas do receptor de GLP-1, adequando o protocolo às novas evidências clínicas.
Nutrição clínica intensificou busca ativa dos pacientes desde a gestão de acesso, avaliando possibilidade de antecipação da chegada para permitir o consumo dentro do tempo seguro.</t>
    </r>
  </si>
  <si>
    <r>
      <rPr>
        <b/>
        <sz val="11"/>
        <color rgb="FF000000"/>
        <rFont val="Aptos Narrow"/>
        <family val="2"/>
        <scheme val="minor"/>
      </rPr>
      <t>Resultados quantitativos:</t>
    </r>
    <r>
      <rPr>
        <sz val="11"/>
        <color rgb="FF000000"/>
        <rFont val="Aptos Narrow"/>
        <family val="2"/>
        <scheme val="minor"/>
      </rPr>
      <t xml:space="preserve">
Adesão média do trimestre: 41,6% (Julho: 40%, Agosto: 43%, Setembro: 42%).
Conformidade média nas auditorias: Prescrição 55% | Administração 49% | Registro 46%.
Melhor documentação pré-anestésica (68%), mas falhas persistentes na execução e registro.
Resultados qualitativos:
A integração entre serviços e setores começou a apresentar melhor articulação de informações.
O envolvimento da nutrição clínica ampliou a triagem de pacientes elegíveis, porém o tempo entre admissão e oferta do suplemento ainda é uma limitação operacional relevante.
Persistem falhas de registro no PEP e dificuldades de consolidação dos dados no painel institucional, dificultando o monitoramento preciso do indicador.
A análise do serviço de anestesia passou a ser integrada ao sistema hospitalar, fortalecendo a governança do processo.</t>
    </r>
  </si>
  <si>
    <r>
      <rPr>
        <b/>
        <sz val="11"/>
        <color rgb="FF000000"/>
        <rFont val="Aptos Narrow"/>
        <family val="2"/>
        <scheme val="minor"/>
      </rPr>
      <t>Ações corretivas e preventivas para o próximo ciclo:</t>
    </r>
    <r>
      <rPr>
        <sz val="11"/>
        <color rgb="FF000000"/>
        <rFont val="Aptos Narrow"/>
        <family val="2"/>
        <scheme val="minor"/>
      </rPr>
      <t xml:space="preserve">
Formalizar o protocolo revisado, incorporando as diretrizes atualizadas e a padronização do tempo de jejum (6h para sólidos).
Implantar o painel único de controle, centralizando o fechamento dos indicadores de jejum e suplementação.
Incluir no histórico do PEP e no Centro Cirúrgico o campo obrigatório de registro: “Paciente optou por não fazer uso do suplemento” e o motivo da não adesão.
Aprimorar o processo de busca ativa, avaliando estratégias para reduzir o intervalo entre internação e oferta do suplemento.
Nutrição seguirá descrevendo o motivo de cada “tempo insuficiente” para análise e correção do indicador interno.
Retomar as devolutivas mensais às equipes assistenciais, com foco nas unidades de maior não conformidade.
Revisar fluxos e protocolos em conjunto com anestesia e enfermagem, garantindo execução dentro do tempo preconizado.
Monitorar e avaliar o impacto das ações implementadas no 4º trimestre, buscando elevar a adesão média para ≥50% .</t>
    </r>
  </si>
  <si>
    <t xml:space="preserve">Agosto apresentou pequeno avanço (43%), com 366 pacientes suplementados de um total de 842 incluídos no protocolo. Apesar da melhora marginal, o resultado segue 17 pontos percentuais abaixo da meta mínima. As auditorias indicaram melhor documentação na consulta pré-anestésica (68%), Houve melhora na documentação da consulta pré-anestésica (68%), reflexo das ações e devolutivas iniciadas no trimestre anterior.
Apesar disso, persistem falhas na execução e no registro, principalmente em pacientes de urgência com tempo habil para inclusão no protocolo, cuja adesão foi inferior a 45%.
A prescrição médica na consulta pré anestesica melhorou marginalmente, mas não houve correspondência na administração prática.
As causas predominantes são falta de uniformidade nos critérios de inclusão dos pacientes ( horario da cirurgia, procedimentos cirurgicos, condições clinicas do paciente), A resistência de parte do corpo clínico em aderir ao protocolo e orientar o paciente quanto ao uso tem dificultando a consolidação do processo.								</t>
  </si>
  <si>
    <t xml:space="preserve">Em setembro, observou-se uma leve queda na adesão ao protocolo, atingindo 42%, com 360 pacientes suplementados entre 851 incluídos, o que sinaliza estagnação do avanço obtido em agosto.
A análise crítica dos relatórios de segurança confirma a recorrência de falhas de processo, incluindo registros de incidentes relacionados ao Protocolo de Abreviação do Jejum e ausência de documentação adequada.
Os achados reforçam que o problema persiste entre a prescrição e a execução do protocolo — ou seja, o suplemento é prescrito, mas não administrado, ou é administrado fora do tempo recomendado. Além disso, permanecem falhas na indicação do suplemento, bem como dificuldades na coleta e consolidação dos dados do indicador por meio dos painéis institucionais do hospital. Persistem também inconsistências nos registros da consulta pré-anestésica e na admissão do paciente no Centro Cirúrgico.
Durante o mês de setembro, foi realizada reunião conjunta entre os serviços de anestesia, centro cirúrgico, unidade de internação cirúrgica e nutrição clínica, com o objetivo de ampliar a adesão ao protocolo e corrigir falhas persistentes.
Nessa ocasião, foi também integrada à análise do indicador — anteriormente conduzida de forma paralela pelo serviço de anestesia — a avaliação institucional, permitindo uma discussão conjunta dos resultados das auditorias clínicas e das dificuldades enfrentadas pelos serviços na aplicação do protocolo, tanto para pacientes com consulta pré-anestésica agendada, quanto para pacientes internados com tempo hábil de inclusão e aqueles admitidos sem inserção adequada no protocolo ou fora do tempo recomendado.									</t>
  </si>
  <si>
    <t>INCIDÊNCIA DE PARADA CARDIORRESPIRATÓRIA NO PERÍODO DA INDUÇÃO ATÉ A ALTA ANESTÉSICA</t>
  </si>
  <si>
    <t>Nº de pacientes submetidos a procedimentos sob anestesia/sedação com ocorrência de parada cardiorrespiratória no período da indução até a alta anestésica da SRPA ou transferência para UTI</t>
  </si>
  <si>
    <t>Nº de pacientes submetidos a procedimento sob anestesia/sedação</t>
  </si>
  <si>
    <t>Meta zero / ≤1/10.000 anestesias</t>
  </si>
  <si>
    <t>Não houve casos de PCR</t>
  </si>
  <si>
    <t>Não houve casos de PCR (análise de óbito)</t>
  </si>
  <si>
    <r>
      <rPr>
        <b/>
        <sz val="9"/>
        <color rgb="FFFF0000"/>
        <rFont val="Aptos Narrow"/>
        <family val="2"/>
        <scheme val="minor"/>
      </rPr>
      <t xml:space="preserve">Resultado: 1 ocorrência / 1.781 anestesias
Taxa: 0,00056/10.000 (dentro da meta)
</t>
    </r>
    <r>
      <rPr>
        <sz val="9"/>
        <color theme="1"/>
        <rFont val="Aptos Narrow"/>
        <family val="2"/>
        <scheme val="minor"/>
      </rPr>
      <t xml:space="preserve">
</t>
    </r>
    <r>
      <rPr>
        <b/>
        <sz val="9"/>
        <color theme="4"/>
        <rFont val="Aptos Narrow"/>
        <family val="2"/>
        <scheme val="minor"/>
      </rPr>
      <t>Descrição do evento:</t>
    </r>
    <r>
      <rPr>
        <sz val="9"/>
        <color theme="1"/>
        <rFont val="Aptos Narrow"/>
        <family val="2"/>
        <scheme val="minor"/>
      </rPr>
      <t xml:space="preserve">
Durante procedimento de angioplastia complexa (técnica retrógrada por colateral epicárdica), paciente apresentou tamponamento cardíaco com evolução para parada cardiorrespiratória (PCR).
A resposta da equipe foi imediata, com drenagem pericárdica de urgência, uso de suporte mecânico (BIA) e drogas vasoativas. Após manobras de reanimação, o paciente evoluiu com retorno da circulação espontânea (RCE) e foi encaminhado à UTI em estabilidade hemodinâmica.
</t>
    </r>
    <r>
      <rPr>
        <b/>
        <sz val="9"/>
        <color theme="4"/>
        <rFont val="Aptos Narrow"/>
        <family val="2"/>
        <scheme val="minor"/>
      </rPr>
      <t>Análise crítica:</t>
    </r>
    <r>
      <rPr>
        <sz val="9"/>
        <color theme="1"/>
        <rFont val="Aptos Narrow"/>
        <family val="2"/>
        <scheme val="minor"/>
      </rPr>
      <t xml:space="preserve">
Trata-se de evento adverso grave não evitável, decorrente de complicação mecânica relacionada à técnica do procedimento, e não de falha assistencial.
O caso evidencia boa integração entre equipe médica, enfermagem e hemodinâmica, com resposta rápida e protocolos de emergência executados corretamente.
A revisão do evento em comitê apontou aderência total aos POPs anestésicos e protocolos de suporte avançado de vida (ACLS).
</t>
    </r>
    <r>
      <rPr>
        <b/>
        <sz val="9"/>
        <color theme="4"/>
        <rFont val="Aptos Narrow"/>
        <family val="2"/>
        <scheme val="minor"/>
      </rPr>
      <t>Conclusão:</t>
    </r>
    <r>
      <rPr>
        <sz val="9"/>
        <color theme="1"/>
        <rFont val="Aptos Narrow"/>
        <family val="2"/>
        <scheme val="minor"/>
      </rPr>
      <t xml:space="preserve">
Ocorrência dentro do risco inerente à complexidade do caso. Sem falha técnica identificada.
A resposta institucional foi adequada, rápida e segura.</t>
    </r>
  </si>
  <si>
    <r>
      <rPr>
        <b/>
        <sz val="9"/>
        <color theme="4"/>
        <rFont val="Aptos Narrow"/>
        <family val="2"/>
        <scheme val="minor"/>
      </rPr>
      <t xml:space="preserve">1 ocorrência de PCR / 1.823 anestesias realizadas.
Taxa: 0,00055/10.000 anestesias (dentro da meta).
</t>
    </r>
    <r>
      <rPr>
        <sz val="9"/>
        <color theme="1"/>
        <rFont val="Aptos Narrow"/>
        <family val="2"/>
        <scheme val="minor"/>
      </rPr>
      <t xml:space="preserve">Descrição do evento:
1 caso: Paciente do sexo feminino, em estado séptico e instabilidade hemodinâmica grave, submetida à laparotomia de urgência.
Durante a indução anestésica, apresentou duas paradas cardiorrespiratórias, revertidas após 1 ciclo de RCP em cada episódio.
A paciente foi transferida para UTI, com recuperação hemodinâmica inicial e sem dano neurológico imediato.
O evento foi classificado como </t>
    </r>
    <r>
      <rPr>
        <b/>
        <sz val="9"/>
        <color rgb="FFFF0000"/>
        <rFont val="Aptos Narrow"/>
        <family val="2"/>
        <scheme val="minor"/>
      </rPr>
      <t>não evitável, diretamente relacionado à condição clínica crítica da paciente.</t>
    </r>
    <r>
      <rPr>
        <sz val="9"/>
        <color theme="1"/>
        <rFont val="Aptos Narrow"/>
        <family val="2"/>
        <scheme val="minor"/>
      </rPr>
      <t xml:space="preserve">
A resposta da equipe foi imediata e tecnicamente adequada, com atuação coordenada entre anestesia, enfermagem e centro cirúrgico.
O caso reforça a importância da estratificação de risco anestésico em emergências, especialmente em pacientes sépticos e hipovolêmicos.
Os registros e relatórios de anestesia demonstraram aderência integral ao protocolo institucional de PCR intraoperatória, sem falhas identificadas.
</t>
    </r>
    <r>
      <rPr>
        <b/>
        <sz val="9"/>
        <color rgb="FFFF0000"/>
        <rFont val="Aptos Narrow"/>
        <family val="2"/>
        <scheme val="minor"/>
      </rPr>
      <t>Conclusão:</t>
    </r>
    <r>
      <rPr>
        <sz val="9"/>
        <color theme="1"/>
        <rFont val="Aptos Narrow"/>
        <family val="2"/>
        <scheme val="minor"/>
      </rPr>
      <t xml:space="preserve">
Indicador dentro da meta. Evento isolado, não relacionado a falha de processo ou técnica anestésica.</t>
    </r>
  </si>
  <si>
    <t>TAXA DE MUDANÇA DE TÉCNICA ANESTÉSICA</t>
  </si>
  <si>
    <t>Média Anual</t>
  </si>
  <si>
    <t>Nº de pacientes submetidos a procedimentos sob anestesia/sedação que tiveram mudança de técnica anestésica durante período intraoperatório devido a causas relativas a anestesia</t>
  </si>
  <si>
    <t>Nº de pacientes submetidos a procedimentos sob anestesia/sedação</t>
  </si>
  <si>
    <r>
      <t xml:space="preserve">O indicador apresentou resultado estável e dentro da meta em todos os meses anteriores (0%), sem registro de outras ocorrências formais. Entretanto, durante a discussão em comitê, foi levantada a possibilidade de subnotificação de falhas anestésicas funcionais nos meses anteriores, uma vez que parte das conversões de técnica — especialmente em bloqueios parciais revertidos rapidamente — pode não ter sido registrada formalmente no sistema AxReg. Além disso, identificou-se dificuldade na busca ativa e rastreabilidade dessas ocorrências, já que nem sempre há correlação direta entre o prontuário anestésico e a notificação de evento adverso. Esse achado reforça a necessidade de fortalecer os mecanismos de vigilância ativa e integração entre os registros de anestesia, auditoria clínica e segurança do paciente.
</t>
    </r>
    <r>
      <rPr>
        <b/>
        <sz val="9"/>
        <color theme="1"/>
        <rFont val="Aptos Narrow"/>
        <family val="2"/>
        <scheme val="minor"/>
      </rPr>
      <t>Descrição do Caso – Setembro / 2025</t>
    </r>
    <r>
      <rPr>
        <sz val="9"/>
        <color theme="1"/>
        <rFont val="Aptos Narrow"/>
        <family val="2"/>
        <scheme val="minor"/>
      </rPr>
      <t xml:space="preserve">
No dia 10/09/2025, durante procedimento ortopédico eletivo, o paciente Gabriel Enriquez Marin Perez apresentou falha de raquianestesia após punção única (L4–L5, agulha Whitacre 27G, líquor claro e refluxo adequado). Após o início da incisão, foi observada ineficácia parcial do bloqueio, com resposta motora e sensibilidade preservadas em um dos dermátomos cirúrgicos. A equipe anestésica reconheceu prontamente a falha e realizou conversão para anestesia geral balanceada com máscara laríngea nº3 e sevoflurano, mantendo estabilidade hemodinâmica e respiratória durante todo o procedimento.
</t>
    </r>
    <r>
      <rPr>
        <b/>
        <sz val="9"/>
        <color theme="1"/>
        <rFont val="Aptos Narrow"/>
        <family val="2"/>
        <scheme val="minor"/>
      </rPr>
      <t>Classificação do incidente:</t>
    </r>
    <r>
      <rPr>
        <sz val="9"/>
        <color theme="1"/>
        <rFont val="Aptos Narrow"/>
        <family val="2"/>
        <scheme val="minor"/>
      </rPr>
      <t xml:space="preserve">
Tipo: Evento adverso anestésico-cirúrgico
Natureza: Falha funcional de bloqueio raquidiano
Consequência: Dano leve e autolimitado (prolongamento do tempo anestésico, sem repercussões clínicas)
Causa raiz: Dispersão insuficiente do anestésico local (fator intrínseco / variabilidade individual)</t>
    </r>
  </si>
  <si>
    <t>1- Verificar histórico do indicador e potenciais subnotificações de eventos funcionais (bloqueios parciais não registrados).
2 - Definir plano de ação para fortalecer a rastreabilidade e vigilância ativa dessas ocorrências no centro cirúrgico.</t>
  </si>
  <si>
    <t>Realizada investigação clínica do caso de falha raquidiana (L4–L5) durante procedimento ortopédico, com conversão imediata para anestesia geral balanceada.
A equipe anestésica atuou conforme boas práticas: reconhecimento precoce, comunicação com a equipe cirúrgica, manutenção da estabilidade e registro completo no AxReg.
A ocorrência foi discutida em reunião multiprofissional (anestesia, enfermagem e qualidade) para análise técnica e identificação de oportunidades de melhoria.
Divulgadas orientações sobre importância do registro de falhas técnicas e funcionais, ainda que sem dano.</t>
  </si>
  <si>
    <r>
      <t xml:space="preserve">Indicador manteve-se dentro da meta institucional, com 0,1% no mês e 0% de média anual.
Revisão retrospectiva identificou baixa incidência de notificações, sugerindo possível subnotificação de eventos similares em meses anteriores.
</t>
    </r>
    <r>
      <rPr>
        <b/>
        <sz val="9"/>
        <color theme="1"/>
        <rFont val="Aptos Narrow"/>
        <family val="2"/>
        <scheme val="minor"/>
      </rPr>
      <t>Concluiu-se que o evento foi não evitável, decorrente de variação individual na difusão do anestésico local — sem relação com erro técnico.</t>
    </r>
  </si>
  <si>
    <r>
      <t xml:space="preserve">Instituir busca ativa mensal via AxReg e painéis de anestesia para monitorar conversões não notificadas.
Reforçar treinamentos sobre rastreabilidade e registro de eventos anestésicos, incluindo falhas funcionais e bloqueios parciais.
Apresentar resultados e aprendizados em reunião trimestral de qualidade e segurança, consolidando cultura de transparência e melhoria contínua.
</t>
    </r>
    <r>
      <rPr>
        <b/>
        <sz val="9"/>
        <color rgb="FFFF0000"/>
        <rFont val="Aptos Narrow"/>
        <family val="2"/>
        <scheme val="minor"/>
      </rPr>
      <t>Reavaliar o indicador após 90 dias para medir impacto das ações corretivas e ajustar fluxos se necessário.</t>
    </r>
  </si>
  <si>
    <t>INCIDÊNCIA DE PACIENTES ENCAMINHADOS PARA UTI SEM PLANEJAMENTO PRÉVIO COM INDICAÇÃO DECORRENTE DE EVENTOS ANESTÉSICOS</t>
  </si>
  <si>
    <t>Nº de pacientes de cirurgias eletivas sem programação de POI em UTI e que apresentaram evento anestésico necessitando transferência para essa unidade</t>
  </si>
  <si>
    <t>Meta zero / ≤0,3%</t>
  </si>
  <si>
    <r>
      <rPr>
        <b/>
        <sz val="9"/>
        <color theme="4"/>
        <rFont val="Aptos Narrow"/>
        <family val="2"/>
        <scheme val="minor"/>
      </rPr>
      <t xml:space="preserve">Resultado mensal: 0,1% (1 evento / 1.400 procedimentos)
Meta: ≤ 0,3% (meta zero)
</t>
    </r>
    <r>
      <rPr>
        <b/>
        <sz val="9"/>
        <color theme="1"/>
        <rFont val="Aptos Narrow"/>
        <family val="2"/>
        <scheme val="minor"/>
      </rPr>
      <t>Situação</t>
    </r>
    <r>
      <rPr>
        <b/>
        <sz val="9"/>
        <color theme="4"/>
        <rFont val="Aptos Narrow"/>
        <family val="2"/>
        <scheme val="minor"/>
      </rPr>
      <t>: Dentro da meta</t>
    </r>
    <r>
      <rPr>
        <sz val="9"/>
        <color theme="1"/>
        <rFont val="Aptos Narrow"/>
        <family val="2"/>
        <scheme val="minor"/>
      </rPr>
      <t xml:space="preserve">
</t>
    </r>
    <r>
      <rPr>
        <b/>
        <sz val="9"/>
        <color theme="1"/>
        <rFont val="Aptos Narrow"/>
        <family val="2"/>
        <scheme val="minor"/>
      </rPr>
      <t xml:space="preserve">Caso 1 </t>
    </r>
    <r>
      <rPr>
        <sz val="9"/>
        <color theme="1"/>
        <rFont val="Aptos Narrow"/>
        <family val="2"/>
        <scheme val="minor"/>
      </rPr>
      <t xml:space="preserve">- Ocorreu em paciente do sexo masculino, portador de hipertensão arterial sistêmica e asma, em uso de Enalapril, Diurix, Salbutamol e Fenoterol.  Deu entrada no pronto-socorro em 07/01/2025 com quadro compatível com apendicite aguda perfurada e peritonite, sendo submetido à apendicectomia videolaparoscópica com drenagem subfrênica. Durante o pós-operatório imediato, apresentou hipotensão sustentada na SRPA (PAM ≈ 66 mmHg), liberado ao quarto sem reavaliação médica. Na manhã seguinte, evoluiu com sinais de sepse abdominal, sendo necessária ativação do protocolo de sepse, antibioticoterapia de amplo espectro e transferência para UTI para suporte hemodinâmico.A cultura evidenciou E. coli multirresistente, demandando ajuste antimicrobiano (meropeném). Evoluiu com melhora clínica e alta hospitalar em 15/01/2025. Houve falha no reconhecimento precoce da instabilidade hemodinâmica no pós-anestésico imediato, configurando um evento adverso evitável relacionado à transição do cuidado anestésico para o ambiente de internação.
</t>
    </r>
    <r>
      <rPr>
        <b/>
        <sz val="9"/>
        <color theme="1"/>
        <rFont val="Aptos Narrow"/>
        <family val="2"/>
        <scheme val="minor"/>
      </rPr>
      <t>fatores contribuintes:</t>
    </r>
    <r>
      <rPr>
        <sz val="9"/>
        <color theme="1"/>
        <rFont val="Aptos Narrow"/>
        <family val="2"/>
        <scheme val="minor"/>
      </rPr>
      <t xml:space="preserve">
Falha de monitoramento e comunicação entre a equipe da SRPA e o plantão no momento da alta do paciente da recuperação anestésica.
Ausência de critérios objetivos de estabilidade hemodinâmica para alta da SRPA, especialmente em casos sépticos ou com foco infeccioso estabelecido.
Não ADESÃO AO protocolo de reavaliação pós-operatória pelo anestesista antes da alta que poderia ter identificado a deterioração antes da necessidade de transferência à UTI.</t>
    </r>
  </si>
  <si>
    <r>
      <rPr>
        <b/>
        <sz val="9"/>
        <color theme="1"/>
        <rFont val="Aptos Narrow"/>
        <family val="2"/>
        <scheme val="minor"/>
      </rPr>
      <t>Paciente:</t>
    </r>
    <r>
      <rPr>
        <sz val="9"/>
        <color theme="1"/>
        <rFont val="Aptos Narrow"/>
        <family val="2"/>
        <scheme val="minor"/>
      </rPr>
      <t xml:space="preserve"> Edith Mantovani Fontana, 75 anos, portadora de HAS e DM, em uso contínuo de Pregabalina e Duloxetina. Procedimento: Artrodese lombar eletiva sob anestesia geral, duração de 1h30min, sem intercorrências cirúrgicas significativas. No pós-operatório imediato, ainda em sala de recuperação, apresentou episódio de mioclonia após mudança de decúbito (supina) e novas mioclonias após extubação. Evoluiu rapidamente para crise convulsiva tônico-clônica generalizada, necessitando intubação orotraqueal e ventilação mecânica para proteção das vias aéreas, sendo transferida à UTI para suporte intensivo. Os exames complementares (TC de crânio, EEG seriados e exames laboratoriais) descartaram causas estruturais e evidenciaram paroxismos epileptiformes frontais e temporais, compatíveis com encefalopatia medicamentosa e/ou metabólica. O quadro evoluiu com melhora progressiva, permitindo extubação no 3º dia de UTI e alta hospitalar em 24/03/2025, em boas condições clínicas.  </t>
    </r>
    <r>
      <rPr>
        <b/>
        <sz val="9"/>
        <color theme="1"/>
        <rFont val="Aptos Narrow"/>
        <family val="2"/>
        <scheme val="minor"/>
      </rPr>
      <t xml:space="preserve">Evento anestésico-neurológico agudo, de caráter não previsível, porém necessitando de suporte intensivo imediato.
Fatores contribuintes identificados:
</t>
    </r>
    <r>
      <rPr>
        <sz val="9"/>
        <color theme="1"/>
        <rFont val="Aptos Narrow"/>
        <family val="2"/>
        <scheme val="minor"/>
      </rPr>
      <t>Susceptibilidade neurológica prévia: uso crônico de Pregabalina e Duloxetina, que podem baixar o limiar convulsivo e interagir com anestésicos e analgésicos opioides.
Potencial interação medicamentosa: associação entre anestesia geral, agentes sedativos e antidepressivos serotoninérgicos, favorecendo encefalopatia tóxica e crises mioclônicas.
Distúrbio metabólico leve no intra e pós-operatório inicial, com hipocalemia (K 2,7) e hipofosfatemia, ambos reconhecidos como precipitantes de atividade epiléptica.
Ausência de antecedentes epilépticos conhecidos, configurando evento de caráter idiossincrático, não prevenível no planejamento anestésico habitual.</t>
    </r>
  </si>
  <si>
    <r>
      <rPr>
        <b/>
        <sz val="9"/>
        <color theme="4" tint="-0.249977111117893"/>
        <rFont val="Aptos Narrow"/>
        <family val="2"/>
        <scheme val="minor"/>
      </rPr>
      <t xml:space="preserve">Resultado mensal: 0,1% (1 evento / 1.601 procedimentos)
Meta: ≤ 0,3% (meta zero)
Situação: Dentro da meta
</t>
    </r>
    <r>
      <rPr>
        <b/>
        <sz val="9"/>
        <color theme="1"/>
        <rFont val="Aptos Narrow"/>
        <family val="2"/>
        <scheme val="minor"/>
      </rPr>
      <t xml:space="preserve">
Paciente:</t>
    </r>
    <r>
      <rPr>
        <sz val="9"/>
        <color theme="1"/>
        <rFont val="Aptos Narrow"/>
        <family val="2"/>
        <scheme val="minor"/>
      </rPr>
      <t xml:space="preserve"> Vitório Ansolin, 71 anos, com histórico de adenocarcinoma gástrico em tratamento quimioterápico paliativo (FOLFOX + Nivolumabe), portador de port-a-cath implantado em 14/02/2025, e múltiplas comorbidades (HAS, DM2, estenose aórtica pós-TAVI, FA paroxística).  Em 31/03, foi avaliado por infectologia devido a hiperemia, calor e dor no sítio do port-a-cath direito, associadas à elevação de PCR (236 mg/L) e aumento de creatinina (1,9 mg/dL). O ultrassom mostrou coleção subclávia sugestiva de abscesso peri-cateter, com indicação de retirada do dispositivo. Em 01/04, foi realizada remoção do port-a-cath direito e colocação de novo cateter à esquerda, sob anestesia local e sem sedação. Durante a recuperação anestésica (SRPA), o paciente evoluiu com taquicardia, tremores e agitação psicomotora, seguidos de hipotensão persistente (≈90x60 mmHg) e taquicardia (105 bpm), caracterizando choque séptico pós-procedimento. Foi administrado vasopressor e, diante da instabilidade, realizada transferência imediata para UTI, onde recebeu suporte hemodinâmico, antibioticoterapia de amplo espectro (cefepime + daptomicina) e medidas de controle da infecção. A cultura da ponta do cateter confirmou infecção de corrente sanguínea associada ao port-a-cath (ICSAC). Evoluiu com melhora clínica após terapia intensiva e ajuste antimicrobiano.  </t>
    </r>
    <r>
      <rPr>
        <b/>
        <sz val="9"/>
        <color theme="1"/>
        <rFont val="Aptos Narrow"/>
        <family val="2"/>
        <scheme val="minor"/>
      </rPr>
      <t xml:space="preserve">Infecção pré-existente do port-a-cath com sinais flogísticos evidentes antes da intervenção, mas sem bacteremia confirmada.  </t>
    </r>
    <r>
      <rPr>
        <sz val="9"/>
        <color theme="1"/>
        <rFont val="Aptos Narrow"/>
        <family val="2"/>
        <scheme val="minor"/>
      </rPr>
      <t xml:space="preserve">Paciente oncológico imunossuprimido, neutropênico e com múltiplas comorbidades cardiovasculares, aumentando o risco de descompensação hemodinâmica.  Provável liberação bacteriana sistêmica durante a manipulação e retirada do dispositivo infectado, precipitando choque séptico intra/SRPA.
</t>
    </r>
    <r>
      <rPr>
        <b/>
        <sz val="9"/>
        <color rgb="FFFF0000"/>
        <rFont val="Aptos Narrow"/>
        <family val="2"/>
        <scheme val="minor"/>
      </rPr>
      <t xml:space="preserve">Ausência de planejamento prévio para suporte intensivo imediato, apesar do alto risco de instabilidade, o que caracteriza transferência não planejada à UTI.
</t>
    </r>
    <r>
      <rPr>
        <sz val="9"/>
        <color theme="1"/>
        <rFont val="Aptos Narrow"/>
        <family val="2"/>
        <scheme val="minor"/>
      </rPr>
      <t>O evento representa uma intercorrência infecciosa grave com descompensação hemodinâmica imediata no pós-procedimento, configurando encaminhamento não planejado à UTI.  Embora previsível em termos de risco (dado o contexto séptico e oncológico), o choque séptico instalou-se abruptamente, justificando o acionamento emergencial.</t>
    </r>
  </si>
  <si>
    <r>
      <t>O mês de maio apresentou um pico isolado do indicador, atingindo 0,24% (quatro casos em 1.678 procedimentos), resultado ainda dentro da meta institucional (≤0,3%), chama atenção pela concentração de ocorrências em um único período. A análise conjunta dos casos aponta variabilidade clínica e operacional como principal fator contributivo, evidenciando o impacto das situações de</t>
    </r>
    <r>
      <rPr>
        <b/>
        <sz val="9"/>
        <color theme="1"/>
        <rFont val="Aptos Narrow"/>
        <family val="2"/>
        <scheme val="minor"/>
      </rPr>
      <t xml:space="preserve"> fragilidades pontuais no planejamento e triagem pré-operatória.</t>
    </r>
    <r>
      <rPr>
        <sz val="9"/>
        <color theme="1"/>
        <rFont val="Aptos Narrow"/>
        <family val="2"/>
        <scheme val="minor"/>
      </rPr>
      <t xml:space="preserve">
</t>
    </r>
    <r>
      <rPr>
        <b/>
        <sz val="9"/>
        <color theme="1"/>
        <rFont val="Aptos Narrow"/>
        <family val="2"/>
        <scheme val="minor"/>
      </rPr>
      <t>Caso 1-</t>
    </r>
    <r>
      <rPr>
        <sz val="9"/>
        <color theme="1"/>
        <rFont val="Aptos Narrow"/>
        <family val="2"/>
        <scheme val="minor"/>
      </rPr>
      <t xml:space="preserve"> Fernanda Mara Peretti, submetida a histerectomia vaginal, apresentou hipotensão refratária à reposição volêmica na SRPA, mantendo perfusão adequada e exigindo uso transitório de vasopressor. O quadro caracterizou uma vasoplegia anestésica, possivelmente associada ao efeito residual dos agentes anestésicos e ao bloqueio simpático do ato cirúrgico. O encaminhamento à UTI foi necessário para estabilização hemodinâmica, configurando evento anestésico não planejado, parcialmente evitável com aplicação de protocolo de avaliação hemodinâmica antes da alta da SRPA.
</t>
    </r>
    <r>
      <rPr>
        <b/>
        <sz val="9"/>
        <color theme="1"/>
        <rFont val="Aptos Narrow"/>
        <family val="2"/>
        <scheme val="minor"/>
      </rPr>
      <t>Caso 2 - ,</t>
    </r>
    <r>
      <rPr>
        <sz val="9"/>
        <color theme="1"/>
        <rFont val="Aptos Narrow"/>
        <family val="2"/>
        <scheme val="minor"/>
      </rPr>
      <t xml:space="preserve"> Radamés Pereira, em investigação neurológica por suspeita de Síndrome de Guillain-Barré, sofreu broncoaspiração de conteúdo gástrico durante exame de ressonância magnética sob sedação. O paciente apresentava fatores predisponentes (DRGE, constipação e jejum prolongado), configurando situação de risco aumentado para aspiração. O episódio exigiu transferência imediata à UTI por precaução respiratória, sendo posteriormente confirmado diagnóstico de broncopneumonia aspirativa. Trata-se de evento anestésico fora do centro cirúrgico, considerado parcialmente evitável mediante triagem rigorosa e plano anestésico adequado ao risco.
</t>
    </r>
    <r>
      <rPr>
        <b/>
        <sz val="9"/>
        <color theme="1"/>
        <rFont val="Aptos Narrow"/>
        <family val="2"/>
        <scheme val="minor"/>
      </rPr>
      <t>Caso 3 - ,</t>
    </r>
    <r>
      <rPr>
        <sz val="9"/>
        <color theme="1"/>
        <rFont val="Aptos Narrow"/>
        <family val="2"/>
        <scheme val="minor"/>
      </rPr>
      <t xml:space="preserve"> Severino da Silva Pereira, foi submetido a artroplastia total de quadril e apresentou hipotensão significativa na SRPA após sangramento intraoperatório moderado, embora já houvesse previsão de leito em UTI no pré-operatório. O encaminhamento acabou ocorrendo de forma tardia, após tentativa de estabilização na recuperação anestésica, o que caracteriza falha de processo e de comunicação entre as equipes quanto ao destino pós-operatório previamente acordado. Ainda que clinicamente controlado, o caso evidencia a necessidade de reforçar o registro formal e o bloqueio administrativo de leitos de UTI previamente programados para cirurgias de grande porte.
</t>
    </r>
    <r>
      <rPr>
        <b/>
        <sz val="9"/>
        <color theme="1"/>
        <rFont val="Aptos Narrow"/>
        <family val="2"/>
        <scheme val="minor"/>
      </rPr>
      <t>Caso 4 -</t>
    </r>
    <r>
      <rPr>
        <sz val="9"/>
        <color theme="1"/>
        <rFont val="Aptos Narrow"/>
        <family val="2"/>
        <scheme val="minor"/>
      </rPr>
      <t xml:space="preserve">  Danielle Lemes Fraga, foi submetida a videolaparoscopia de urgência por gravidez ectópica rota com sangramento ativo e grande volume de sangue livre na cavidade abdominal. No pós-anestésico imediato, apresentava taquicardia e sinais de hipovolemia, sendo prontamente encaminhada à UTI para suporte hemodinâmico. Embora o evento tenha origem obstétrica e cirúrgica, foi incluído no numerador do indicador por tratar-se de descompensação clínica detectada na SRPA após anestesia. Trata-se de caso inevitável, relacionado à gravidade da condição de base e não a falha de conduta anestésica.
De modo geral, os quatro casos reforçam a importância da padronização dos critérios de alta da SRPA, da triagem anestésica estruturada e da definição clara do destino pós-operatório no checklist cirúrgico.</t>
    </r>
    <r>
      <rPr>
        <b/>
        <sz val="9"/>
        <color theme="1"/>
        <rFont val="Aptos Narrow"/>
        <family val="2"/>
        <scheme val="minor"/>
      </rPr>
      <t xml:space="preserve">  A análise de causa raiz conduzida</t>
    </r>
    <r>
      <rPr>
        <sz val="9"/>
        <color theme="1"/>
        <rFont val="Aptos Narrow"/>
        <family val="2"/>
        <scheme val="minor"/>
      </rPr>
      <t xml:space="preserve">: Apontou falhas de comunicação intersetorial, heterogeneidade de condutas e deficiência na formalização do planejamento de leitos críticos como fatores contribuintes. Como resposta, foram implantadas ações corretivas voltadas à avaliação dos riscos na consulta/avaliação pré-anestésica, auditoria sistemática dos encaminhamentos não planejados. 
</t>
    </r>
    <r>
      <rPr>
        <b/>
        <sz val="9"/>
        <color theme="1"/>
        <rFont val="Aptos Narrow"/>
        <family val="2"/>
        <scheme val="minor"/>
      </rPr>
      <t>O resultado de maio é interpretado como pico isolado decorrente de variabilidade clínica e operacional.</t>
    </r>
  </si>
  <si>
    <r>
      <t xml:space="preserve">O mês de junho apresentou duas ocorrências de encaminhamentos não planejados à UTI por eventos clínicos detectados na Sala de Recuperação Pós-Anestésica (SRPA), mantendo o indicador em 0,13% (2 casos/1.550 procedimentos) — valor dentro da meta institucional (≤0,3%), sem tendência de elevação. Os episódios analisados mantêm o perfil de eventos de baixa gravidade, prontamente reconhecidos e manejados de forma adequada, refletindo um processo assistencial seguro, mas que ainda demanda atenção contínua à vigilância hemodinâmica e avaliação clínica precoce na SRPA. 
</t>
    </r>
    <r>
      <rPr>
        <b/>
        <sz val="9"/>
        <color theme="1"/>
        <rFont val="Aptos Narrow"/>
        <family val="2"/>
        <scheme val="minor"/>
      </rPr>
      <t xml:space="preserve">Caso 1 </t>
    </r>
    <r>
      <rPr>
        <sz val="9"/>
        <color theme="1"/>
        <rFont val="Aptos Narrow"/>
        <family val="2"/>
        <scheme val="minor"/>
      </rPr>
      <t xml:space="preserve">-   Ires Salete Wesoloski, 62 anos, submetida a mamoplastia redutora associada a lipoaspiração e dermolipectomia abdominal. O ato anestésico transcorrera sem intercorrências, porém, no pós-operatório imediato, a paciente apresentou hipotensão postural persistente, refratária à infusão de 2.500 ml de cristaloide, o que motivou sua transferência da SRPA para a UTI. A paciente possuía hipertensão arterial sistêmica e trombofilia familiar (Fator V de Leiden), condições predisponentes a labilidade hemodinâmica e risco tromboembólico. Na avaliação da UTI, encontrava-se lúcida, sem sinais de choque ou sangramento ativo, com perfusão periférica preservada e hemodinamicamente compensada após suporte com vasopressor leve. O caso caracteriza evento anestésico de natureza hemodinâmica, não grave, possivelmente relacionado à vasoplegia induzida por anestésicos, volume aspirado e redistribuição volêmica. Apesar do encaminhamento não planejado, houve resolução completa em menos de 24 horas, com alta precoce da terapia intensiva e sem complicações secundárias.
</t>
    </r>
    <r>
      <rPr>
        <b/>
        <sz val="9"/>
        <color theme="1"/>
        <rFont val="Aptos Narrow"/>
        <family val="2"/>
        <scheme val="minor"/>
      </rPr>
      <t>Caso 2 -</t>
    </r>
    <r>
      <rPr>
        <sz val="9"/>
        <color theme="1"/>
        <rFont val="Aptos Narrow"/>
        <family val="2"/>
        <scheme val="minor"/>
      </rPr>
      <t xml:space="preserve"> Daiane Vanessa Riquetta Alberici, 36 anos, foi admitida na SRPA após apendicectomia videolaparoscópica por apendicite aguda supurada com peritonite, com quadro clínico de cinco dias de evolução prévia. O procedimento ocorreu sem instabilidade intraoperatória, mas, pela gravidade do processo infeccioso e risco de sepse abdominal, foi decidido, em consenso entre anestesiologia e cirurgia, encaminhamento imediato à UTI para vigilância intensiva e controle clínico pós-operatório. A paciente manteve-se hemodinamicamente estável e sem necessidade de drogas vasoativas, evoluindo com boa resposta ao tratamento antimicrobiano e alta da UTI no 5º dia pós-operatório. Embora o encaminhamento tenha sido planejado durante o intraoperatório, o caso foi incluído no indicador por ter ocorrido a partir da SRPA, sem reserva de leito previamente registrada — o que o caracteriza falha na formalização do planejamento do destino pós-cirúrgico, e não de falha técnica anestésica.
De modo geral, as ocorrências do mês de junho demonstram baixa gravidade clínica e ausência de desfechos adversos relevantes, sendo ambas relacionadas a instabilidades hemodinâmicas e condições clínicas prévias, mais do que a intercorrências anestésicas propriamente ditas. </t>
    </r>
    <r>
      <rPr>
        <b/>
        <sz val="9"/>
        <color theme="1"/>
        <rFont val="Aptos Narrow"/>
        <family val="2"/>
        <scheme val="minor"/>
      </rPr>
      <t>A  causa raiz apontou fatores contribuintes ligados à ausência de padronização na definição pré-operatória do destino pós-anestésico, à falha na comunicação entre anestesia, SRPA e equipe cirúrgica, e à variação de conduta no reconhecimento da necessidade de UTI precoce, especialmente em pacientes de risco intermediário.</t>
    </r>
    <r>
      <rPr>
        <sz val="9"/>
        <color theme="1"/>
        <rFont val="Aptos Narrow"/>
        <family val="2"/>
        <scheme val="minor"/>
      </rPr>
      <t xml:space="preserve">
Foram reforçadas as rotinas de avaliação pré-anestésica com estratificação de risco hemodinâmico, a formalização do campo “Destino Pós-Operatório” no prontuário eletrônico. Também foi discutida com  as equipes do CC confirmando o planejamento antecipado de leito em pacientes com risco ASA II–III submetidos a procedimentos de médio ou grande porte, de forma a evitar decisões tardias e transferências não programadas.
Em síntese, o comportamento do indicador em junho reflete estabilidade e efetividade das medidas implantadas nos meses anteriores, com manutenção dentro da meta e encaminhamentos adequados do ponto de vista assistencial, porém ainda com oportunidade de melhoria na comunicação e no planejamento intersetorial. O cenário é compatível com controle do processo anestésico e amadurecimento institucional das práticas de gestão de risco perioperatório.</t>
    </r>
  </si>
  <si>
    <r>
      <t xml:space="preserve">O mês de julho apresentou </t>
    </r>
    <r>
      <rPr>
        <b/>
        <sz val="9"/>
        <color theme="1"/>
        <rFont val="Aptos Narrow"/>
        <family val="2"/>
        <scheme val="minor"/>
      </rPr>
      <t xml:space="preserve">quatro casos de encaminhamento não programado à UTI </t>
    </r>
    <r>
      <rPr>
        <sz val="9"/>
        <color theme="1"/>
        <rFont val="Aptos Narrow"/>
        <family val="2"/>
        <scheme val="minor"/>
      </rPr>
      <t xml:space="preserve">decorrentes de eventos detectados na Sala de Recuperação Pós-Anestésica (SRPA), com incidência de 0,21% (4 casos / 1.869 procedimentos), valor dentro da meta institucional (≤0,3%), embora com leve elevação em relação aos dois meses anteriores. O perfil das ocorrências demonstra características multifatoriais e recorrentes, envolvendo falhas de planejamento pré-operatório, instabilidade hemodinâmica pós-anestésica e decisões clínicas corretas, porém reativas, em vez de preventivas.
</t>
    </r>
    <r>
      <rPr>
        <b/>
        <sz val="9"/>
        <color theme="1"/>
        <rFont val="Aptos Narrow"/>
        <family val="2"/>
        <scheme val="minor"/>
      </rPr>
      <t>Caso 1 -</t>
    </r>
    <r>
      <rPr>
        <sz val="9"/>
        <color theme="1"/>
        <rFont val="Aptos Narrow"/>
        <family val="2"/>
        <scheme val="minor"/>
      </rPr>
      <t xml:space="preserve">  Hilário José Mallmann, 75 anos, submetido a artroplastia total de joelho direito. O evento foi caracterizado por falha processual: o paciente possuía recomendação expressa de vigilância intensiva pós-operatória, com reserva de leito em UTI previamente validada, conforme parecer cardiológico e plano anestésico. Contudo, foi inadvertidamente encaminhado à SRPA. Durante a recuperação, apresentou hipotensão leve e sinais de hipoperfusão, o que levou à transferência emergencial para a UTI, corrigindo o erro de fluxo. A análise de causa raiz identificou </t>
    </r>
    <r>
      <rPr>
        <b/>
        <sz val="9"/>
        <color theme="1"/>
        <rFont val="Aptos Narrow"/>
        <family val="2"/>
        <scheme val="minor"/>
      </rPr>
      <t>ausência de conferência formal do destino cirúrgico no checklist de saída da sala</t>
    </r>
    <r>
      <rPr>
        <sz val="9"/>
        <color theme="1"/>
        <rFont val="Aptos Narrow"/>
        <family val="2"/>
        <scheme val="minor"/>
      </rPr>
      <t xml:space="preserve">, além de lacuna de comunicação entre as equipes de anestesia, cirurgia e enfermagem. O evento é classificado como evitável, com dano leve e temporário, evidenciando necessidade de aprimorar a verificação cruzada do destino conforme plano anestésico.
</t>
    </r>
    <r>
      <rPr>
        <b/>
        <sz val="9"/>
        <color theme="1"/>
        <rFont val="Aptos Narrow"/>
        <family val="2"/>
        <scheme val="minor"/>
      </rPr>
      <t>Caso 2 -</t>
    </r>
    <r>
      <rPr>
        <sz val="9"/>
        <color theme="1"/>
        <rFont val="Aptos Narrow"/>
        <family val="2"/>
        <scheme val="minor"/>
      </rPr>
      <t xml:space="preserve">  Marliezer do Nascimento, 29 anos, foi registrado após dermolipectomia com plicatura de reto e lipoaspiração de alto volume (4–4,5 L) sob anestesia geral. Na SRPA, o paciente apresentou hipotensão sustentada, hipocoramento e débito sanguinolento elevado em dreno (≈550 mL), necessitando de reposição volêmica, uso intermitente de vasopressores e transfusão de hemácias (CHAD). A transferência para a UTI foi indicada por instabilidade recorrente e anemia aguda. A investigação apontou que o caso era parcialmente evitável, pois faltou planejamento prévio compatível com cirurgia de grande porte, sem reserva antecipada de sangue ou leito crítico. O manejo clínico foi adequado e a resposta da equipe foi rápida, mas o episódio revelou falha na estratificação de risco e porte cirúrgico em cirurgias plásticas extensas.
</t>
    </r>
    <r>
      <rPr>
        <b/>
        <sz val="9"/>
        <color theme="1"/>
        <rFont val="Aptos Narrow"/>
        <family val="2"/>
        <scheme val="minor"/>
      </rPr>
      <t>Caso 3 -</t>
    </r>
    <r>
      <rPr>
        <sz val="9"/>
        <color theme="1"/>
        <rFont val="Aptos Narrow"/>
        <family val="2"/>
        <scheme val="minor"/>
      </rPr>
      <t xml:space="preserve"> Atendimento 2416982 Paciente submetido a cirurgia abdominal de médio porte, que evoluiu na SRPA com hipotensão transitória associada a náusea e sonolência, sem intercorrências intraoperatórias relevantes. A decisão de encaminhamento à UTI foi motivada pela associação de instabilidade hemodinâmica com perfil clínico de risco moderado. O episódio foi classificado como clínico e de gravidade leve, com desfecho favorável após observação intensiva por 24 horas. A análise destacou a boa resposta assistencial imediata, mas também falha no protocolo padronizado de alta da SRPA com critérios objetivos de estabilidade .
</t>
    </r>
    <r>
      <rPr>
        <b/>
        <sz val="9"/>
        <color theme="1"/>
        <rFont val="Aptos Narrow"/>
        <family val="2"/>
        <scheme val="minor"/>
      </rPr>
      <t>Caso 4 -</t>
    </r>
    <r>
      <rPr>
        <sz val="9"/>
        <color theme="1"/>
        <rFont val="Aptos Narrow"/>
        <family val="2"/>
        <scheme val="minor"/>
      </rPr>
      <t xml:space="preserve"> (Atendimento 2544650) envolveu paciente no pós-operatório de colecistectomia videolaparoscópica, que evoluiu com bradipneia e hipoxemia durante a recuperação anestésica. Apesar de a anestesia e o ato cirúrgico terem transcorrido sem intercorrências, a paciente apresentou depressão respiratória secundária a efeito residual de opioide e sedação, sendo instituídas medidas de suporte ventilatório e reversão farmacológica, seguidas de encaminhamento à UTI para monitorização contínua. O evento foi considerado não grave e completamente reversível, configurando falha relacionada à variabilidade de resposta farmacológica individual e necessidade de vigilância prolongada na SRPA, mais do que falha técnica anestésica.
De forma global, os casos de julho evidenciam :
1- Fragilidade na execuçãoo e validação do planejamento pré-operatório (caso Hilário e Marliezer);
2 - Variabilidade clínica e resposta fisiológica pós-anestésica, que demandaram observação intensiva.
</t>
    </r>
    <r>
      <rPr>
        <b/>
        <sz val="9"/>
        <color rgb="FFFF0000"/>
        <rFont val="Aptos Narrow"/>
        <family val="2"/>
        <scheme val="minor"/>
      </rPr>
      <t>A análise  demonstra que a resposta clínica foi oportuna e segura, evitando evolução para desfechos adversos, mas as barreiras preventivas a montante ainda falham — especialmente no planejamento de destino, reserva de leitos e classificação de porte anestésico. A cultura de segurança mostrou-se presente nas respostas rápidas da SRPA e na comunicação com a UTI, porém ainda reativa, e não preditiva.</t>
    </r>
    <r>
      <rPr>
        <sz val="9"/>
        <color theme="1"/>
        <rFont val="Aptos Narrow"/>
        <family val="2"/>
        <scheme val="minor"/>
      </rPr>
      <t xml:space="preserve">
</t>
    </r>
  </si>
  <si>
    <r>
      <t xml:space="preserve">O mês de agosto apresentou dois casos de encaminhamentos não programados à UTI, resultando em índice de 0,10% (2 casos / 1.915 procedimentos) — dentro da meta institucional (≤0,3%), mantendo a estabilidade do indicador e confirmando o controle do processo assistencial. Ambos os eventos decorreram de intercorrências clínicas reconhecidas e manejadas prontamente na SRPA, com desfechos favoráveis, embora em um deles tenha sido identificado atraso na ativação de protocolo e latência na transferência. 
</t>
    </r>
    <r>
      <rPr>
        <b/>
        <sz val="9"/>
        <color theme="1"/>
        <rFont val="Aptos Narrow"/>
        <family val="2"/>
        <scheme val="minor"/>
      </rPr>
      <t xml:space="preserve">Caso 1 - </t>
    </r>
    <r>
      <rPr>
        <sz val="9"/>
        <color theme="1"/>
        <rFont val="Aptos Narrow"/>
        <family val="2"/>
        <scheme val="minor"/>
      </rPr>
      <t xml:space="preserve"> Fabiana Zamodzki, 42 anos, submetida a cesariana gemelar (DIDI) , que evoluiu no pós-operatório imediato com sangramento vaginal volumoso e atonia uterina, progredindo para choque hemorrágico grave. Na SRPA, foram instituídas medidas iniciais de suporte — oxigenoterapia, hidratação vigorosa, uterotônicos e massagem uterina —, porém sem resposta sustentada. Após queda progressiva da pressão arterial e sinais de hipoperfusão, iniciou-se noradrenalina em bomba de infusão e solicitou-se transferência à UTI. A paciente necessitou de histerectomia puerperal de urgência e, no dia seguinte, laparotomia exploradora com ooforectomia esquerda por hemoperitônio residual, além de politransfusão (CHAD, PFC, plaquetas, crioprecipitado). </t>
    </r>
    <r>
      <rPr>
        <b/>
        <sz val="9"/>
        <color theme="1"/>
        <rFont val="Aptos Narrow"/>
        <family val="2"/>
        <scheme val="minor"/>
      </rPr>
      <t>O evento foi classificado como grave, porém não evitável, decorrente de hemorragia obstétrica por atonia uterina refratária, em paciente de alto risco obstétrico (trombofilia, pré-eclâmpsia, gestação gemelar e uso prévio de anticoagulante)</t>
    </r>
    <r>
      <rPr>
        <sz val="9"/>
        <color theme="1"/>
        <rFont val="Aptos Narrow"/>
        <family val="2"/>
        <scheme val="minor"/>
      </rPr>
      <t xml:space="preserve">
 A análise de causa raiz evidenciou atraso na ativação formal do Protocolo de Hemorragia Obstétrica e do MTP (Massive Transfusion Protocol), bem como latência na comunicação entre obstetrícia, anestesia, UTI e hemoterapia. O reconhecimento inicial foi precoce, mas o escalonamento terapêutico foi reativo, o que retardou a transferência e a reposição hemoderivada. Apesar disso, a resposta assistencial na fase crítica foi efetiva, e o desfecho clínico foi favorável. As principais oportunidades de melhoria concentram-se em tempo-resposta e integração multiprofissional em emergências obstétricas.
</t>
    </r>
    <r>
      <rPr>
        <b/>
        <sz val="9"/>
        <color theme="1"/>
        <rFont val="Aptos Narrow"/>
        <family val="2"/>
        <scheme val="minor"/>
      </rPr>
      <t>Caso 2 -</t>
    </r>
    <r>
      <rPr>
        <sz val="9"/>
        <color theme="1"/>
        <rFont val="Aptos Narrow"/>
        <family val="2"/>
        <scheme val="minor"/>
      </rPr>
      <t xml:space="preserve"> Delmar Zemiani, 47 anos, submetido a artrodese lombossacra por estenose congênita do canal vertebral. Durante fisioterapia respiratória na SRPA, apresentou hipotensão (PA 70x54 mmHg), sudorese e dessaturação leve, mantendo-se consciente e orientado. Após avaliação do anestesiologista, foi iniciado suporte com noradrenalina (4 mL/h) e solicitada vaga em UTI semi-intensiva para observação. Os exames revelaram hipocalcemia leve e lactato discretamente elevado (3,2 mmol/L), sem sinais de isquemia. O evento foi classificado como leve e transitório, sem dano permanente, decorrente de resposta fisiológica individual ao esforço respiratório e suspensão recente de anti-hipertensivo, sem falha técnica ou processual.  </t>
    </r>
    <r>
      <rPr>
        <b/>
        <sz val="9"/>
        <color theme="1"/>
        <rFont val="Aptos Narrow"/>
        <family val="2"/>
        <scheme val="minor"/>
      </rPr>
      <t>A análise destacou a importância da checagem hemodinâmica antes da mobilização e a revisão do manejo de anti-hipertensivos no pré e pós-operatório, especialmente em pacientes sob anestesia geral de médio porte. Trata-se de evento não evitável, com gestão clínica exemplar e sem repercussões duradouras.</t>
    </r>
    <r>
      <rPr>
        <sz val="9"/>
        <color theme="1"/>
        <rFont val="Aptos Narrow"/>
        <family val="2"/>
        <scheme val="minor"/>
      </rPr>
      <t xml:space="preserve">
De forma global, os dois casos de agosto demonstram nível elevado de resposta assistencial e segurança no manejo das intercorrências anestésicas, com rápida intervenção e integração multiprofissional, ainda que com necessidade de aprimorar a tempestividade em emergências obstétricas. O comportamento do indicador reforça a efetividade das medidas corretivas implementadas nos meses anteriores, consolidando a estabilidade e a previsibilidade do processo anestésico.
</t>
    </r>
    <r>
      <rPr>
        <b/>
        <sz val="9"/>
        <color theme="1"/>
        <rFont val="Aptos Narrow"/>
        <family val="2"/>
        <scheme val="minor"/>
      </rPr>
      <t>Como ações corretivas e preventivas, foram determinadas:</t>
    </r>
    <r>
      <rPr>
        <sz val="9"/>
        <color theme="1"/>
        <rFont val="Aptos Narrow"/>
        <family val="2"/>
        <scheme val="minor"/>
      </rPr>
      <t xml:space="preserve">
Reforço da via rápida UTI para emergências obstétricas e hemorragias graves;
Revisão do tempo de ativação do Protocolo de Hemorragia Obstétrica, com simulações multiprofissionais;
</t>
    </r>
  </si>
  <si>
    <r>
      <t>O mês de setembro apresentou</t>
    </r>
    <r>
      <rPr>
        <b/>
        <sz val="9"/>
        <color theme="1"/>
        <rFont val="Aptos Narrow"/>
        <family val="2"/>
        <scheme val="minor"/>
      </rPr>
      <t xml:space="preserve"> duas ocorrências de encaminhamento não programado à UTI, </t>
    </r>
    <r>
      <rPr>
        <sz val="9"/>
        <color theme="1"/>
        <rFont val="Aptos Narrow"/>
        <family val="2"/>
        <scheme val="minor"/>
      </rPr>
      <t xml:space="preserve">resultando em incidência de 0,11% (2 casos / 1.865 procedimentos) — valor dentro da meta institucional (≤0,3%), mantendo a estabilidade do indicador. </t>
    </r>
    <r>
      <rPr>
        <b/>
        <sz val="9"/>
        <color rgb="FFFF0000"/>
        <rFont val="Aptos Narrow"/>
        <family val="2"/>
        <scheme val="minor"/>
      </rPr>
      <t>Os casos, embora distintos em natureza clínica, reforçam dois pontos estruturais do processo anestésico:</t>
    </r>
    <r>
      <rPr>
        <sz val="9"/>
        <color theme="1"/>
        <rFont val="Aptos Narrow"/>
        <family val="2"/>
        <scheme val="minor"/>
      </rPr>
      <t xml:space="preserve"> planejamento perioperatório insuficiente em paciente de alto risco e reação rápida e eficaz diante de complicação clínica imprevisível.
</t>
    </r>
    <r>
      <rPr>
        <b/>
        <sz val="9"/>
        <color theme="1"/>
        <rFont val="Aptos Narrow"/>
        <family val="2"/>
        <scheme val="minor"/>
      </rPr>
      <t>Caso 1 -</t>
    </r>
    <r>
      <rPr>
        <sz val="9"/>
        <color theme="1"/>
        <rFont val="Aptos Narrow"/>
        <family val="2"/>
        <scheme val="minor"/>
      </rPr>
      <t xml:space="preserve">  Milton Lunardi, 92 anos, submetido a laminectomia torácica com implante de eletrodos para neuromodulação, evoluiu na SRPA com hipotensão persistente (PA 69/42 mmHg) e bradicardia sinusal (52–61 bpm), sem evidências de sangramento ou hipoxemia. Apesar da adequada condução anestésica e extubação sem intercorrências, o paciente apresentou vasoplegia pós-anestésica refratária à reposição volêmica, necessitando de suporte com droga vasoativa (noradrenalina em baixa dose) e encaminhamento imediato à UTI. A investigação revelou perfil clínico de alto risco (ASA III–IV) com múltiplas comorbidades — insuficiência cardíaca com fração de ejeção preservada, fibrilação atrial, diabetes, doença de Parkinson e uso de diurético, antiarrítmico e inibidor de SGLT2 — fatores predisponentes à instabilidade hemodinâmica e disautonomia perioperatória. </t>
    </r>
    <r>
      <rPr>
        <b/>
        <sz val="9"/>
        <color theme="1"/>
        <rFont val="Aptos Narrow"/>
        <family val="2"/>
        <scheme val="minor"/>
      </rPr>
      <t>A análise classificou o evento como potencialmente evitável, uma vez que não houve reserva de leito de UTI previamente, apesar do risco clínico claramente identificado na avaliação pré-anestésica</t>
    </r>
    <r>
      <rPr>
        <sz val="9"/>
        <color theme="1"/>
        <rFont val="Aptos Narrow"/>
        <family val="2"/>
        <scheme val="minor"/>
      </rPr>
      <t xml:space="preserve">. A falha principal ocorreu no planejamento perioperatório, não na execução técnica ou resposta assistencial. A equipe de anestesia e SRPA respondeu prontamente, mitigando o dano, e o paciente evoluiu com melhora hemodinâmica e alta da UTI em 48 horas, sem sequelas. As recomendações derivadas incluem reforçar a obrigatoriedade de definição do destino pós-operatório na avaliação pré-anestésica e formalizar o critério de reserva antecipada de leito para pacientes ASA III/IV ou com risco cardiovascular elevado.
</t>
    </r>
    <r>
      <rPr>
        <b/>
        <sz val="9"/>
        <color theme="1"/>
        <rFont val="Aptos Narrow"/>
        <family val="2"/>
        <scheme val="minor"/>
      </rPr>
      <t xml:space="preserve">Caso 2 - </t>
    </r>
    <r>
      <rPr>
        <sz val="9"/>
        <color theme="1"/>
        <rFont val="Aptos Narrow"/>
        <family val="2"/>
        <scheme val="minor"/>
      </rPr>
      <t xml:space="preserve"> Guilherme de Rezende Dalul, 40 anos, submetido a tireoidectomia total sem intercorrências cirúrgicas, que apresentou dispneia, estridor e disfonia durante a recuperação anestésica. A fibronasolaringoscopia demonstrou paralisia bilateral de pregas vocais em posição paramediana, complicação conhecida e rara do procedimento. O paciente manteve saturação adequada (96–99%) sob oxigenoterapia e não necessitou de intubação, mas, diante do risco de deterioração respiratória, foi encaminhado preventivamente à UTI para vigilância intensiva, permanecendo em observação por menos de 24 horas e obtendo recuperação completa. </t>
    </r>
    <r>
      <rPr>
        <b/>
        <sz val="9"/>
        <color theme="1"/>
        <rFont val="Aptos Narrow"/>
        <family val="2"/>
        <scheme val="minor"/>
      </rPr>
      <t>O evento foi classificado como não evitável, decorrente de complicação cirúrgica previsível e inerente ao procedimento, sem falha de processo anestésico ou de comunicação.</t>
    </r>
    <r>
      <rPr>
        <sz val="9"/>
        <color theme="1"/>
        <rFont val="Aptos Narrow"/>
        <family val="2"/>
        <scheme val="minor"/>
      </rPr>
      <t xml:space="preserve"> As equipes de anestesia, cirurgia, otorrinolaringologia e enfermagem atuaram de forma coordenada. A transferência precoce à UTI foi medida preventiva adequada, demonstrando maturidade da linha de cuidado cirúrgico e efetividade das barreiras assistenciais.
Os casos de setembro refletem a necessidade de reforçar o planejamento antecipado, especialmente em pacientes idosos e com comorbidades múltiplas. O comportamento do indicador mantém tendência estável, dentro da meta, com predominância de eventos clínicos leves a moderados, totalmente resolvidos.
</t>
    </r>
    <r>
      <rPr>
        <b/>
        <sz val="9"/>
        <color theme="1"/>
        <rFont val="Aptos Narrow"/>
        <family val="2"/>
        <scheme val="minor"/>
      </rPr>
      <t xml:space="preserve">Como ações corretivas e preventivas, foram definidas:
</t>
    </r>
    <r>
      <rPr>
        <sz val="9"/>
        <color theme="1"/>
        <rFont val="Aptos Narrow"/>
        <family val="2"/>
        <scheme val="minor"/>
      </rPr>
      <t xml:space="preserve">
Revisão do formulário de avaliação pré-anestésica, com campo obrigatório para definição do destino pós-operatório;
Integração do protocolo de estratificação de risco perioperatório aos fluxos de agendamento cirúrgico;
</t>
    </r>
  </si>
  <si>
    <t>EFETIVIDADE DO PROTOCOLO DE CONTROLE GLICÊMICO NO PERÍODO PERIOPERATÓRIO</t>
  </si>
  <si>
    <t>Nº de pacientes submetidos a procedimento sob anestesia com a participação do anestesiologista elegíveis ao protocolo de controle glicêmico mantidos com níveis glicêmicos dentro do padronizado</t>
  </si>
  <si>
    <t>Nº de pacientes submetidos a procedimento sob anestesia com a participação do anestesiologista elegíveis ao protocolo de controle glicêmico</t>
  </si>
  <si>
    <t>&gt;90%</t>
  </si>
  <si>
    <r>
      <t>No mês de janeiro, o</t>
    </r>
    <r>
      <rPr>
        <b/>
        <sz val="9"/>
        <color rgb="FF000000"/>
        <rFont val="Aptos Narrow"/>
        <family val="2"/>
        <scheme val="minor"/>
      </rPr>
      <t xml:space="preserve"> indicador de efetividade do protocolo de controle glicêmico alcançou 74%</t>
    </r>
    <r>
      <rPr>
        <sz val="9"/>
        <color rgb="FF000000"/>
        <rFont val="Aptos Narrow"/>
        <family val="2"/>
        <scheme val="minor"/>
      </rPr>
      <t xml:space="preserve">, abaixo da meta institucional de ≥90%, entre 726 pacientes elegíveis, dos quais 535 mantiveram níveis glicêmicos dentro do padrão. O desempenho evidencia fragilidades relacionadas sobretudo ao monitoramento e ao registro das glicemias no período perioperatório. Entre os pacientes avaliados, 20 apresentaram hipoglicemia (&lt;70 mg/dL) no pré-operatório, e 1 manteve-se hipoglicêmico no pós-operatório, mostrando falha pontual de vigilância e necessidade de ajustes na rotina de rechecagem. Já 14 pacientes apresentaram hiperglicemia (&gt;180 mg/dL) no pré-operatório; 11 evoluíram para normoglicemia, mas 2 permaneceram com valores acima de 207 mg/dL após o procedimento, indicando falhas no manejo intraoperatório e na correção farmacológica.
O dado mais crítico do mês foi a ausência de monitoramento em 157 pacientes, comprometendo tanto a avaliação real da efetividade quanto a segurança assistencial, já que impede a identificação precoce de descontrole glicêmico. Esse volume de casos sem aferição sugere uma lacuna sistêmica, e não um evento isolado, interferindo diretamente na confiabilidade do indicador. </t>
    </r>
    <r>
      <rPr>
        <b/>
        <sz val="9"/>
        <color rgb="FFFF0000"/>
        <rFont val="Aptos Narrow"/>
        <family val="2"/>
        <scheme val="minor"/>
      </rPr>
      <t xml:space="preserve">Assim, janeiro demonstra que o resultado abaixo da meta não se deve predominantemente a falhas terapêuticas, mas sim a inconsistências na execução, adesão e rastreabilidade do protocolo, </t>
    </r>
    <r>
      <rPr>
        <sz val="9"/>
        <color rgb="FF000000"/>
        <rFont val="Aptos Narrow"/>
        <family val="2"/>
        <scheme val="minor"/>
      </rPr>
      <t>uma vez que os casos de hipo e hiperglicemia foram pontuais e, em sua maioria, bem conduzidos. Contudo, a grande proporção de pacientes sem monitoramento revela baixa adesão institucional e fragilidade de governança clínica no início do ciclo.</t>
    </r>
  </si>
  <si>
    <r>
      <t xml:space="preserve">A analise do periodo revelou que a </t>
    </r>
    <r>
      <rPr>
        <b/>
        <sz val="9"/>
        <color rgb="FFFF0000"/>
        <rFont val="Aptos Narrow"/>
        <family val="2"/>
        <scheme val="minor"/>
      </rPr>
      <t>principal causa de não conformidade esteve associada à baixa adesão operacional ao monitoramento glicêmico,</t>
    </r>
    <r>
      <rPr>
        <sz val="9"/>
        <color rgb="FF000000"/>
        <rFont val="Aptos Narrow"/>
        <family val="2"/>
        <scheme val="minor"/>
      </rPr>
      <t xml:space="preserve"> evidenciada pela ausência de coletas em uma proporção significativa dos pacientes elegíveis e por falhas repetidas na rechecagem pós-intervenção.
 Além disso, identificou-se dificuldade na coleta, registro e consolidação dos dados, o que limita a precisão do indicador e compromete as ações de melhoria contínua.
 Outro ponto crítico foi a estagnação do protocolo, que se manteve sem revisões estruturais, gerando lacunas entre a teoria proposta e a realidade do fluxo clínico-assistencial.
Como resposta, definiu-se a necessidade de </t>
    </r>
    <r>
      <rPr>
        <b/>
        <sz val="9"/>
        <color rgb="FFFF0000"/>
        <rFont val="Aptos Narrow"/>
        <family val="2"/>
        <scheme val="minor"/>
      </rPr>
      <t>revisão institucional do Protocolo de Controle Glicêmico Perioperatório</t>
    </r>
    <r>
      <rPr>
        <sz val="9"/>
        <color rgb="FF000000"/>
        <rFont val="Aptos Narrow"/>
        <family val="2"/>
        <scheme val="minor"/>
      </rPr>
      <t>, em conjunto com a equipe assistencial e o time de anestesia, buscando atualizar critérios, metas, rotinas de monitorização e estratégias de reavaliação obrigatória. Para isso, o hospital estabeleceu a integração com a endocrinologia, culminando no evento "Atualização PRO Manejo de Hiperglicemia e Hipoglicemia em Pacientes Não Críticos", a ser conduzido pela Dra. Vanessa Tavarone, Médica Endocrinologista.
O treinamento, voltado para anestesistas, hospitalistas, equipes de enfermagem do fluxo cirúrgico e unidades clínicas, farmacêuticos e nutricionistas, buscou reforçar definições, metas glicêmicas, diagnósticos, protocolos terapêuticos, manejo de situações especiais e fluxos de alta hospitalar. A metodologia híbrida, com duração de 1 hora.</t>
    </r>
  </si>
  <si>
    <t>Durante o 1º semestre, implementou-se um plano preliminar de contenção voltado a:
reforçar, por meio das coordenações assistenciais, a necessidade de coleta obrigatória das glicemias pré e pós-operatórias;
reforçar a comunicação entre centro cirúrgico, anestesia e recuperação para garantir reavaliação após qualquer intervenção glicêmica;
iniciar auditorias amostrais semanais para identificar falhas de registro;
revisar pontos críticos do fluxo de atendimento para mapear causas de não monitoramento.
Em paralelo, avançou-se na construção do conteúdo institucional que será apresentado no treinamento de setembro, com alinhamento entre endocrinologia, anestesia e gestão hospitalar para padronizar condutas em hipoglicemia, hiperglicemia e manejo de pacientes em situações especiais (insuficiência renal, nutrição enteral/parenteral, corticoterapia, cuidados paliativos).</t>
  </si>
  <si>
    <t>A análise consolidada de janeiro a junho mostrou que os esforços iniciais de reforço operacional resultaram em melhoras discretas, embora insuficientes para alterar significativamente a trajetória do indicador. Houve leve elevação do desempenho entre abril (72%) e maio (80%), mas junho voltou a apresentar limitação na execução plena do protocolo, com manutenção de percentual elevado de pacientes sem avaliação glicêmica (17,7%). A ausência de mudança estrutural reforçou a necessidade de revisão mais profunda do protocolo e de capacitação formal das equipes.
O monitoramento demonstrou que a equipe tem competência técnica para corrigir hipoglicemias e hiperglicemias quando identificadas, mas que as falhas residem essencialmente na detecção, na reavaliação e na documentação, o que reafirma a necessidade de uma intervenção educativa e processual mais robusta.</t>
  </si>
  <si>
    <t>Com base na avaliação do semestre, a instituição avançará para a fase de padronização e correção estruturada, implementando:
revisão completa do protocolo, incorporando critérios mais objetivos de monitorização, metas mais claras e fluxos obrigatórios de rechecagem;
Sensibilizações com as equipes reforçando a coleta de glicemias como pré-requisito para avanço do atendimento perioperatório;
auditorias sistemáticas, com devolutiva direta às equipes, especialmente para os casos sem monitoramento e falhas na reavaliação;
treinamento multiprofissional conduzido pela Dra. Vanessa Tavarone em setembro, reforçando diagnóstico, metas, condutas terapêuticas e atuação integrada;
padronização de práticas entre anestesia, enfermagem e equipes clínicas, alinhando o cuidado e fortalecendo a cultura de segurança;
monitoramento mensal com análise crítica estruturada, avaliando os impactos pós-treinamento e ajustes necessários.</t>
  </si>
  <si>
    <r>
      <t xml:space="preserve">Em fevereiro, o indicador de efetividade do </t>
    </r>
    <r>
      <rPr>
        <b/>
        <sz val="9"/>
        <color rgb="FF000000"/>
        <rFont val="Aptos Narrow"/>
        <family val="2"/>
        <scheme val="minor"/>
      </rPr>
      <t>protocolo de controle glicêmico alcançou 76%,</t>
    </r>
    <r>
      <rPr>
        <sz val="9"/>
        <color rgb="FF000000"/>
        <rFont val="Aptos Narrow"/>
        <family val="2"/>
        <scheme val="minor"/>
      </rPr>
      <t xml:space="preserve"> permanecendo abaixo da meta institucional de ≥90%, embora represente leve melhora em relação a janeiro. 
Dos 818 pacientes elegíveis, 619 mantiveram níveis glicêmicos dentro do padrão, evidenciando progressão gradual na adesão, mas ainda com falhas importantes de monitoramento e registro. Ao analisar os dados clínicos, 22 pacientes apresentaram hipoglicemia pré-operatória (&lt;70 mg/dL), sendo que 2 permaneceram hipoglicêmicos no pós-operatório, revelando falhas na reavaliação e no cumprimento integral das etapas de correção. No grupo com hiperglicemia pré-operatória, 12 pacientes tiveram valores acima de 180 mg/dL, dos quais 7 foram adequadamente corrigidos, enquanto 3 mantiveram índices acima de 209 mg/dL, sugerindo inconsistências no manejo intraoperatório e na efetividade das intervenções.
</t>
    </r>
    <r>
      <rPr>
        <b/>
        <sz val="9"/>
        <color rgb="FFFF0000"/>
        <rFont val="Aptos Narrow"/>
        <family val="2"/>
        <scheme val="minor"/>
      </rPr>
      <t>A principal fragilidade do mês, contudo, foi a ausência de monitoramento em 165 pacientes</t>
    </r>
    <r>
      <rPr>
        <sz val="9"/>
        <color rgb="FF000000"/>
        <rFont val="Aptos Narrow"/>
        <family val="2"/>
        <scheme val="minor"/>
      </rPr>
      <t>, representando 20% dos elegíveis, o que repete o padrão crítico observado em janeiro. Essa falta de registro compromete a avaliação real do indicador e evidencia uma falha estrutural no processo, associada à integração insuficiente entre enfermagem, anestesiologia e recuperação anestésica, bem como a lacunas na utilização de checklists e sistemas eletrônicos.
 Embora fevereiro demonstre  evolução e  capacidade técnica adequada para corrigir hipo e hiperglicemias identificadas, a inconsistência operacional ainda limita o avanço para níveis de desempenho mais elevados. Consolidar o uso de ferramentas de monitoramento obrigatório, intensificar auditorias e reforçar o feedback às equipes serão medidas essenciais para transformar essa tendência de melhora em um avanço sustentável ao longo dos próximos meses.</t>
    </r>
  </si>
  <si>
    <r>
      <t xml:space="preserve">No mês de março, </t>
    </r>
    <r>
      <rPr>
        <b/>
        <sz val="9"/>
        <color rgb="FF000000"/>
        <rFont val="Aptos Narrow"/>
        <family val="2"/>
        <scheme val="minor"/>
      </rPr>
      <t xml:space="preserve">o indicador de efetividade do protocolo de controle glicêmico atingiu 78%, mantendo leve crescimento, porém ainda distante da meta de ≥90%. </t>
    </r>
    <r>
      <rPr>
        <sz val="9"/>
        <color rgb="FF000000"/>
        <rFont val="Aptos Narrow"/>
        <family val="2"/>
        <scheme val="minor"/>
      </rPr>
      <t xml:space="preserve">Dos 949 pacientes incluídos, </t>
    </r>
    <r>
      <rPr>
        <b/>
        <sz val="9"/>
        <color rgb="FFFF0000"/>
        <rFont val="Aptos Narrow"/>
        <family val="2"/>
        <scheme val="minor"/>
      </rPr>
      <t>163 (17,2%) não foram avaliados em nenhum momento,</t>
    </r>
    <r>
      <rPr>
        <sz val="9"/>
        <color rgb="FF000000"/>
        <rFont val="Aptos Narrow"/>
        <family val="2"/>
        <scheme val="minor"/>
      </rPr>
      <t xml:space="preserve"> mostrando uma lacuna importante no monitoramento e comprometendo a confiabilidade do indicador. Entre os pacientes avaliados no pré-operatório, 52 apresentaram hipoglicemia (&lt;70 mg/dL), e 5 permaneceram hipoglicêmicos no pós-operatório, indicando falhas de vigilância e necessidade de ajustes nos fluxos de correção e rechecagem.
Também no pré-operatório, 14 pacientes apresentaram hiperglicemia (184–267 mg/dL); 12 foram corrigidos, enquanto 2 não tiveram reavaliação pós-operatória, revelando inconsistências no fechamento do ciclo assistencial. Entre os 718 pacientes normoglicêmicos, 27 apresentaram hipoglicemia pós-operatória e 5 evoluíram com hiperglicemia (183–198 mg/dL), sugerindo possíveis falhas de manejo intra e pós-cirúrgico. Considerando apenas os 786 pacientes avaliados, 688 permaneceram estáveis durante todo o período perioperatório, enquanto 98 apresentaram algum grau de descontrole, reforçando a necessidade de maior integração entre as equipes.
Assim, março evidencia progresso clínico e maior consolidação do protocolo entre os pacientes monitorados, mas a taxa de 17,2% de não monitoramento permanece crítica. O avanço rumo à meta de 90% depende de fortalecimento da governança do protocolo, melhoria dos fluxos de reavaliação e adoção de mecanismos obrigatórios de registro, permitindo que a evolução positiva observada se consolide nos trimestres seguintes.</t>
    </r>
  </si>
  <si>
    <t>No mês de abril, o indicador de efetividade do protocolo de controle glicêmico atingiu 72%, ficando novamente abaixo da meta de ≥90% e representando uma queda em relação a março. Dos 949 pacientes incluídos, 163 (17,2%) não foram avaliados em nenhum momento do período perioperatório, indicando falha relevante no monitoramento e refletindo fragilidade operacional e de cultura de segurança. Entre os pacientes avaliados no pré-operatório, 52 apresentaram hipoglicemia (&lt;70 mg/dL), sendo que 5 permaneceram hipoglicêmicos no pós-operatório, revelando falhas de reavaliação e provável ausência de protocolos padronizados ou de vigilância adequada na transição para a recuperação anestésica.
Quanto à hiperglicemia, 14 pacientes apresentaram valores acima de 180 mg/dL (184–267 mg/dL) no pré-operatório; 12 foram corrigidos, mas 2 não tiveram rechecagem, o que compromete a validação da correção e reforça falhas no ciclo de monitoramento. Entre os 718 pacientes normoglicêmicos, 27 evoluíram com hipoglicemia pós-operatória e 5 com hiperglicemia (183–198 mg/dL), indicando necessidade de revisão do manejo intraoperatório, principalmente no uso de insulina, controle de jejum e infusões intravenosas.
Abril apresentou regressão no desempenho, com persistência de lacunas na documentação, na reavaliação pós-intervenção e no controle glicêmico, apesar da condução terapêutica ser eficaz para a maioria dos pacientes avaliados. O cenário reforça a urgência de retomar a padronização do processo, assegurar aferição documentada nos três momentos críticos, implementar verificações eletrônicas obrigatórias e fortalecer a governança clínica. Esses ajustes são essenciais para corrigir a queda observada e recolocar o indicador no caminho da meta institucional.</t>
  </si>
  <si>
    <t>No mês de maio, o indicador de efetividade do protocolo de controle glicêmico alcançou 80%, representando recuperação significativa em relação a abril e aproximando-se da meta institucional de ≥90%. Apesar do avanço, 137 pacientes ainda não tiveram qualquer registro de avaliação glicêmica, revelando que persistem lacunas importantes na rastreabilidade e na consolidação do processo de monitoramento. Entre os pacientes avaliados, 48 apresentaram hipoglicemia (&lt;70 mg/dL) no pré-operatório; 4 permaneceram hipoglicêmicos no pós-operatório e 7 não foram reavaliados, evidenciando falhas na rechecagem e na execução completa do protocolo.
Em relação à hiperglicemia, 7 pacientes apresentaram valores &gt;180 mg/dL na primeira coleta, dos quais 2 permaneceram hiperglicêmicos no pós-operatório, enquanto os demais foram adequadamente corrigidos. Esses dados mostram melhora no manejo intraoperatório, mas reforçam a necessidade de protocolos mais rígidos de reavaliação, sobretudo em pacientes diabéticos ou com maior risco metabólico.
O resultado de maio, com aumento da efetividade e redução dos casos de descontrole persistente, indica impacto positivo das ações corretivas adotadas anteriormente, refletindo maior engajamento das equipes e melhor padronização do processo. Contudo, o número ainda elevado de pacientes sem avaliação glicêmica demonstra que o protocolo não está totalmente incorporado à rotina assistencial e que a ausência de monitoramento pode mascarar desvios clínicos relevantes. Assim, o desafio passa a ser manter o desempenho ascendente, eliminar falhas de monitoramento e assegurar que 100% dos pacientes elegíveis sejam avaliados em todas as etapas do perioperatório. A consolidação desse avanço dependerá de auditorias contínuas, integração entre as equipes e fortalecimento da cultura de segurança assistencial.</t>
  </si>
  <si>
    <r>
      <t>No mês de junho, o indicador de efetividade do protocolo de controle glicêmico atingiu 77%, mantendo estabilidade em relação a maio, porém ainda distante da meta de ≥90%. Entre os 936 pacientes incluídos, 1</t>
    </r>
    <r>
      <rPr>
        <b/>
        <sz val="9"/>
        <color rgb="FFFF0000"/>
        <rFont val="Aptos Narrow"/>
        <family val="2"/>
        <scheme val="minor"/>
      </rPr>
      <t xml:space="preserve">66 (17,7%) não tiveram nenhum registro de avaliação glicêmica, </t>
    </r>
    <r>
      <rPr>
        <sz val="9"/>
        <color rgb="FF000000"/>
        <rFont val="Aptos Narrow"/>
        <family val="2"/>
        <scheme val="minor"/>
      </rPr>
      <t>demonstrando uma lacuna persistente no monitoramento e comprometendo a rastreabilidade do cuidado. Dos 770 pacientes avaliados, 12 apresentaram hiperglicemia (&gt;180 mg/dL) no pré-operatório; 5 não foram reavaliados, 3 permaneceram hiperglicêmicos no pós-operatório e apenas 4 evoluíram para normoglicemia, revelando falhas na continuidade do controle e baixa adesão à rechecagem obrigatória.
Em relação à hipoglicemia, 62 pacientes apresentaram valores &lt;70 mg/dL; entre eles, 24 não foram reavaliados, 7 mantiveram-se hipoglicêmicos no pós-operatório e 31 normalizaram os níveis, evidenciando que, embora o protocolo seja eficaz quando aplicado integralmente, ainda enfrenta inconsistências no monitoramento sequencial. Entre os 711 pacientes normoglicêmicos, 29 (4,1%) apresentaram alterações glicêmicas no pós-operatório, indicando episódios de descompensação possivelmente relacionados a jejum prolongado, uso de insulina sem reavaliação, soluções intravenosas inadequadas ou estresse cirúrgico.
No conjunto, junho demonstra capacidade clínica sólida na correção dos distúrbios identificados, mas revela fragilidade organizacional pela elevada taxa de pacientes não monitorados e pela falta de padronização no processo de reavaliação. O desempenho do mês caracteriza uma estagnação da curva de melhoria, indicando que o avanço técnico não tem sido acompanhado por evolução operacional. Para aproximar-se da meta de 90%, torna-se essencial fortalecer mecanismos de monitoramento obrigatório, reduzir omissões de registro e garantir que toda intervenção glicêmica seja acompanhada de nova aferição documentada, permitindo transformar o desempenho pontual em um processo assistencial seguro e consistente ao longo do tempo.</t>
    </r>
  </si>
  <si>
    <t>No mês de julho, entre 880 pacientes incluídos no protocolo, observou-se uma efetividade de 91%, resultado impulsionado pelos 740 pacientes que mantiveram controle glicêmico adequado durante o período perioperatório. Foram excluídas 126 crianças até 13 anos, conforme critério do indicador. Entre os avaliados, 70 pacientes apresentaram hipoglicemia (&lt;70 mg/dL) na primeira coleta; destes, 8 permaneceram com glicemias entre 59 e 70 mg/dL no pós-operatório, 24 não foram reavaliados e 35 evoluíram para valores entre 71 e 158 mg/dL após intervenção. Além disso, 6 pacientes apresentaram hiperglicemia (&gt;180 mg/dL) no pré-operatório e não foram reavaliados no pós-operatório. Apesar da melhora expressiva na efetividade, ainda persistem dificuldades na coleta e organização dos dados do indicador</t>
  </si>
  <si>
    <t xml:space="preserve"> Apesar de julho ter atingido 91% de efetividade, agosto e setembro demonstraram perda progressiva de consistência operacional, com quedas para 84% e 82%, respectivamente. Persistiram fragilidades estruturais, como pacientes sem avaliação glicêmica documentada — 24% em julho (considerando não reavaliados em episódios críticos), 56 casos não monitorados em agosto e 44 em setembro — além de falhas recorrentes de rechecagem nos pacientes com glicemias &lt;70 mg/dL ou &gt;180 mg/dL. Esses dados expõem uma clara estagnação do processo e revelam que as melhorias pontuais não se converteram em maturidade sistêmica do protocolo. 
o plano para o próximo ciclo deve se concentrar em três pilares centrais: consolidar a implementação da versão atualizada do protocolo publicada em agosto, garantir confiabilidade na coleta e registro das aferições glicêmicas, e reforçar a capacitação técnica das equipes envolvidas no fluxo cirúrgico e clínico. As metas incluem elevar a efetividade para níveis superiores a 90%, reduzir a zero o número de pacientes elegíveis sem aferição glicêmica e assegurar os casos de hipo ou hiperglicemia passem por rechecagem obrigatória antes da alta da RPA. O plano também contempla o fortalecimento da interface com a TI para eliminar falhas na coleta dos dados.</t>
  </si>
  <si>
    <t>O hospital já iniciou a implementação da nova versão do protocolo em agosto, que estabelece condutas distintas conforme histórico de diabetes, faixas glicêmicas específicas e intervalos obrigatórios de rechecagem. Esse documento atualizado passa a ser o norte das equipes assistenciais e dos anestesistas, que também foram incluídos no cronograma de treinamentos e sensibilização, reforçando o papel de cada profissional no circuito de monitorização metabólica.
A discussão  com a TI para otimizar a coleta de dados e criar ferramentas/alertas no PEP permanece em andamento, visando ajustar os sistemas de prontuário para que as etapas críticas do protocolo se tornem etapas obrigatórias de preenchimento, reduzindo o risco de omissões.
A execução inclui também a adequação do denominador do indicador, formalizando a exclusão de pacientes pediátricos até 13 anos e 11 meses e de pacientes internados em terapia intensiva, alinhando a métrica ao perfil correto da população-alvo.</t>
  </si>
  <si>
    <t>Serão auditados,  os casos de hipoglicemia (&lt;70 mg/dL) e hiperglicemia (&gt;180 mg/dL) para verificar aderência ao ciclo completo do protocolo. Além disso, os relatórios de TI serão utilizados para mapear campos não preenchidos, horários de coleta incompatíveis e falhas de encadeamento entre pré, intra e pós-operatório.</t>
  </si>
  <si>
    <t>Implementar oficialmente a nova versão do protocolo publicada em agosto.
Reforçar critérios de inclusão e exclusão: excluir pediátricos até 13 anos e 11 meses e pacientes de UTI do denominador.
Auditar a aderência às novas diretrizes, principalmente aos fluxos de rechecagem. Investigar todos os casos sem coleta glicêmica, com análise das causas raiz.
Implantar alertas eletrônicos para pacientes com glicemia &lt;70 mg/dL ou &gt;180 mg/dL, disparando checklists automáticos.
Padronizar rechecagem:
Não diabéticos com glicemia 70–139 mg/dL → encerrar protocolo.
Diabéticos → repetir HGT a cada 2 horas até alta da RPA.
Glicemias &lt;70 ou &gt;180 mg/dL → reavaliar de hora em hora.</t>
  </si>
  <si>
    <t>No mês de agosto, 887 pacientes foram incluídos no protocolo, dos 56 pacientes não tiveram avaliação glicêmica no período perioperatório. Entre os avaliados, 744 mantiveram o índice glicêmico dentro do preconizado em todas as aferições. Houve 89 pacientes com hipoglicemia (&lt;70 mg/dL) na primeira coleta; 12 não foram reavaliados, 11 permaneceram entre 50–70 mg/dL no pós-operatório e 64 evoluíram para valores entre 70–133 mg/dL. Já 20 pacientes apresentaram hiperglicemia no pré-operatório (183–517 mg/dL); 6 permaneceram hiperglicêmicos no pós-operatório (186–402 mg/dL), enquanto 10 atingiram normoglicemia, entre 72–152 mg/dL. O mês demonstra bom desempenho clínico entre os pacientes monitorados, mas mantém como fragilidade a ausência de avaliação glicêmica para 56 indivíduos e falhas de rechecagem em parte dos casos com hipo e hiperglicemia.</t>
  </si>
  <si>
    <t>917 pacientes incluídos no protocolo, com 44 pacientes elegíveis sem qualquer avaliação glicêmica, demonstrando que a ausência de monitorização ainda permanece como fragilidade. Entre os avaliados, 756 mantiveram o índice glicêmico dentro do preconizado em todas as aferições. Houve 64 pacientes com glicemia &lt;70 mg/dL na primeira coleta; desses, 17 não foram reavaliados, 3 permaneceram com valores entre 61–67 mg/dL no pós-operatório e 44 evoluíram para níveis entre 72–163 mg/dL, indicando correção adequada quando o ciclo de rechecagem foi seguido.
Dos 813 pacientes com glicemia adequada no pré-operatório, 37 apresentaram hipoglicemia (&lt;70 mg/dL) no pós-operatório e 20 apresentaram hiperglicemia (&gt;190 mg/dL), demonstrando oscilações glicêmicas relacionadas ao manejo intraoperatório e ao estresse cirúrgico. No grupo com hiperglicemia inicial, 9 pacientes apresentaram valores entre 181–439 mg/dL; desses, 2 permaneceram hiperglicêmicos no pós-operatório (234–236 mg/dL), 1 não foi reavaliado e 5 atingiram normoglicemia, com resultados entre 79–178 mg/dL.</t>
  </si>
  <si>
    <t>SAÍDAS SEM EVENTOS RELACIONADOS AO ATO ANESTÉSICO</t>
  </si>
  <si>
    <t>Nº de pacientes submetidos a procedimentos sob anestesia/sedação sem a ocorrência de eventos relacionados ao ato anestésico.</t>
  </si>
  <si>
    <t>Ano</t>
  </si>
  <si>
    <t>MORTALIDADE ASSOCIADA A ANESTESIA EM 48 HORAS E ATÉ 30 DIAS</t>
  </si>
  <si>
    <t>Mês</t>
  </si>
  <si>
    <t>Media Anual</t>
  </si>
  <si>
    <t>Nº de pacientes com desfecho desfecho óbito atribuível à anestesia em 48H horas até 30 dias do procedimento.</t>
  </si>
  <si>
    <r>
      <t xml:space="preserve">O evento de julho caracteriza-se como complicação cardiovascular aguda imprevisível, </t>
    </r>
    <r>
      <rPr>
        <b/>
        <sz val="9"/>
        <color theme="1"/>
        <rFont val="Aptos Narrow"/>
        <family val="2"/>
        <scheme val="minor"/>
      </rPr>
      <t>sem correlação com falhas de processo anestésico,</t>
    </r>
    <r>
      <rPr>
        <sz val="9"/>
        <color theme="1"/>
        <rFont val="Aptos Narrow"/>
        <family val="2"/>
        <scheme val="minor"/>
      </rPr>
      <t xml:space="preserve"> estrutural ou de comunicação.
A equipe atuou conforme os protocolos institucionais e diretrizes ASA, evidenciando resposta técnica adequada e cultura de segurança consolidada. O caso foi  discutido em reunião multiprofissional com anestesia, endoscopia, hemodinâmica e gestão da qualidade, sendo classificado como evento não prevenível, </t>
    </r>
    <r>
      <rPr>
        <b/>
        <sz val="9"/>
        <color theme="1"/>
        <rFont val="Aptos Narrow"/>
        <family val="2"/>
        <scheme val="minor"/>
      </rPr>
      <t>com valor educativo para aprimoramento da vigilância cardiovascular em procedimentos endoscópicos sob anestesia geral.</t>
    </r>
    <r>
      <rPr>
        <sz val="9"/>
        <color theme="1"/>
        <rFont val="Aptos Narrow"/>
        <family val="2"/>
        <scheme val="minor"/>
      </rPr>
      <t xml:space="preserve">
</t>
    </r>
    <r>
      <rPr>
        <b/>
        <sz val="9"/>
        <color theme="1"/>
        <rFont val="Aptos Narrow"/>
        <family val="2"/>
        <scheme val="minor"/>
      </rPr>
      <t xml:space="preserve">
Descrição do Evento:  </t>
    </r>
    <r>
      <rPr>
        <sz val="9"/>
        <color theme="1"/>
        <rFont val="Aptos Narrow"/>
        <family val="2"/>
        <scheme val="minor"/>
      </rPr>
      <t xml:space="preserve">Em 11/07/2025, paciente do sexo feminino, 53 anos, ASA II, foi encaminhada de outro município para CPRE de urgência devido a coledocolitíase múltipla. Durante o procedimento, após a retirada de cálculos, apresentou dessaturação súbita, instabilidade hemodinâmica e evolução para parada cardiorrespiratória (AESP/assistolia).  As manobras de reanimação foram iniciadas imediatamente, com intubação orotraqueal, uso de drogas vasoativas e encaminhamento à hemodinâmica durante RCP contínua. Foram realizados cateterismo e arteriografia pulmonar, que descartaram TEP e evidenciaram suspeita de oclusão aguda da coronária direita. Após 40 minutos de suporte avançado de vida sem reversão, o óbito foi declarado às 21h.
A análise do prontuário e discussão multiprofissional concluem que o evento se trata de óbito intraoperatório não evitável, decorrente de complicação cardíaca aguda imprevisível (provável infarto agudo de ventrículo direito) durante anestesia geral.
</t>
    </r>
    <r>
      <rPr>
        <b/>
        <sz val="9"/>
        <color theme="1"/>
        <rFont val="Aptos Narrow"/>
        <family val="2"/>
        <scheme val="minor"/>
      </rPr>
      <t>Achados principais:</t>
    </r>
    <r>
      <rPr>
        <sz val="9"/>
        <color theme="1"/>
        <rFont val="Aptos Narrow"/>
        <family val="2"/>
        <scheme val="minor"/>
      </rPr>
      <t xml:space="preserve">
Conduta técnica adequada: reanimação avançada, uso de aminas, ventilação mecânica, correção de causas reversíveis e transferência sob RCP para investigação.
Investigação diagnóstica completa (descartado TEP, confirmada obstrução coronariana).
Sem falha de processo identificável, sem indícios de imperícia, omissão ou falha de comunicação.
Condições estruturais adequadas: sala equipada, equipe disponível, acionamento da hemodinâmica em tempo hábil.</t>
    </r>
  </si>
  <si>
    <t>TAXA DE ESTRATIFICAÇÃO DE RISCO ANESTÉSICO DO SERVIÇO</t>
  </si>
  <si>
    <t>Nº de pacientes submetidos a procedimentos sob anestesia/sedação com classificação ASA realizada na avaliação pré-anestésica.</t>
  </si>
  <si>
    <t>INCIDÊNCIA DE VIA ÁREA DIFÍCIL NÃO IDENTIFICADA NO PERÍODO INTRAOPERATÓRIO</t>
  </si>
  <si>
    <t>Nº de pacientes submetidos a procedimentos sob anestesia com necessidade de intubação identificada como difícil sem preditores prévios identificados.</t>
  </si>
  <si>
    <t>Nº de pacientes submetidos a procedimento sob anestesia com necessidade de intubação.</t>
  </si>
  <si>
    <t>TAXA DE INCIDÊNCIA DE NÁUSEA E VÔMITO NO PERÍODO INTRAOPERATÓRIO ATÉ A ALTA ANESTÉSICA</t>
  </si>
  <si>
    <t>MêS</t>
  </si>
  <si>
    <t>Nº de pacientes submetidos a procedimentos sob anestesia/sedação elegíveis ao protocolo de prevenção de náusea e vômitos e que apresentaram náusea e vômitos no período intraoperatório até a alta anestésica.</t>
  </si>
  <si>
    <t>Nº de pacientes submetidos a procedimentos sob anestesia/sedação elegíveis ao protocolo de prevenção de náusea e vômitos.</t>
  </si>
  <si>
    <t>EFETIVIDADE DO PROTOCOLO DE MANEJO DE INTOXICAÇÃO POR ANESTÉSICOS LOCAIS</t>
  </si>
  <si>
    <t>Nº de pacientes submetidos a cirurgia sob anestesia que tenham apresentado sinais e sintomas de intoxicação e cujo manejo para tratamento foi instituído com sucesso.</t>
  </si>
  <si>
    <t>Nº de pacientes submetidos a cirurgia sob anestesia que tenham apresentado sinais e sintomas de intoxicação.</t>
  </si>
  <si>
    <t>TAXA DE CONFORMIDADE DA PROFILAXIA ANTIMICROBIANA CIRÚRGICA DURANTE O PROCEDIMENTO</t>
  </si>
  <si>
    <t>Nº de pacientes submetidos a procedimentos sob anestesia/sedação com dose inicial e repique de antibiótico profilático realizada conforme protocolo institucional.</t>
  </si>
  <si>
    <t>Nº de pacientes submetidos a procedimentos sob anestesia/sedação elegíveis ao protocolo de antibioticoprofilaxia institucional.</t>
  </si>
  <si>
    <t>TAXA DE ADESÃO AOS PROTOCOLOS SEGURANÇA</t>
  </si>
  <si>
    <r>
      <rPr>
        <b/>
        <sz val="8"/>
        <color rgb="FF000000"/>
        <rFont val="Calibri"/>
        <family val="2"/>
      </rPr>
      <t>Numerador</t>
    </r>
    <r>
      <rPr>
        <sz val="8"/>
        <color rgb="FF000000"/>
        <rFont val="Calibri"/>
        <family val="2"/>
      </rPr>
      <t>: Nº de protocolos de seguranç​a cumpridos conforme padrão</t>
    </r>
  </si>
  <si>
    <r>
      <rPr>
        <b/>
        <sz val="8"/>
        <color rgb="FF000000"/>
        <rFont val="Calibri"/>
        <family val="2"/>
      </rPr>
      <t>Denominador:</t>
    </r>
    <r>
      <rPr>
        <sz val="8"/>
        <color rgb="FF000000"/>
        <rFont val="Calibri"/>
        <family val="2"/>
      </rPr>
      <t xml:space="preserve"> N° de protocolos de segurança avaliados</t>
    </r>
  </si>
  <si>
    <t>Protocolo</t>
  </si>
  <si>
    <t>Cirurgia Segura - Numerador</t>
  </si>
  <si>
    <t> </t>
  </si>
  <si>
    <t>Cirurgia Segura - Denominador</t>
  </si>
  <si>
    <t>Via Aérea Difícil - Denominador</t>
  </si>
  <si>
    <t>Via Aérea Difícil - Numerador</t>
  </si>
  <si>
    <t>Antibioticoprofilaxia Cirúrgica - Numerador</t>
  </si>
  <si>
    <t>Antibioticoprofilaxia Cirúrgica - Denominador</t>
  </si>
  <si>
    <t>Controle Glicêmico no Paciente Cirúrgico - Numerador</t>
  </si>
  <si>
    <t>Controle Glicêmico no Paciente Cirúrgico - Denominador</t>
  </si>
  <si>
    <t>Prevenção de Hipotermia - Numerador</t>
  </si>
  <si>
    <t>Prevenção de Hipotermia - Denominador</t>
  </si>
  <si>
    <t>Manejo de Intoxicação por Anestésicos Locais - Numerador</t>
  </si>
  <si>
    <t>Manejo de Intoxicação por Anestésicos Locais - Denominador</t>
  </si>
  <si>
    <t>Hipertermia Maligna - Numerador</t>
  </si>
  <si>
    <t>Hipertermia Maligna - Denominador</t>
  </si>
  <si>
    <t>Alergia ao Látex - Numerador</t>
  </si>
  <si>
    <t>Alergia ao Látex - Denominador</t>
  </si>
  <si>
    <t>Prevenção de Eventos Hemorrágicos - Numerador</t>
  </si>
  <si>
    <t>Prevenção de Eventos Hemorrágicos - Denominador</t>
  </si>
  <si>
    <t>Prevenção de Tromboembolismo Venoso (TEV) - Numerador</t>
  </si>
  <si>
    <t>Prevenção de Tromboembolismo Venoso (TEV) - Denominador</t>
  </si>
  <si>
    <t>Transferência Intra-hospitalar Segura - Numerador</t>
  </si>
  <si>
    <t>Transferência Intra-hospitalar Segura - Denominador</t>
  </si>
  <si>
    <t>EFETIVIDADE DO PROTOCOLO DE PREVENÇÃO DE CAFALÉIA PÓS PUNÇÃO DURAL</t>
  </si>
  <si>
    <t>Nº de pacientes em pós punção dural (intencional ou inadvertida) para fins de anestesia que não apresentaram cefaléia.</t>
  </si>
  <si>
    <t>Nº de pacientes em pós punção dural (intencional ou inadvertida) para fins de anestesia.</t>
  </si>
  <si>
    <t>TAXA DE INCIDÊNCIA DE HIPOTERMIA NÃO INTENCIONAL NO PERÍODO INTRAOPERATÓRIO ATÉ A ALTA ANESTÉSICA</t>
  </si>
  <si>
    <t>Nº de pacientes que apresentaram hipotermia não intencional no período intraoperatório até a alta anestésica.</t>
  </si>
  <si>
    <t>TAXA DE ADESÃO AOS PROTOCOLOS CLÍNICOS ASSISTENCIAIS</t>
  </si>
  <si>
    <r>
      <rPr>
        <b/>
        <sz val="8"/>
        <color rgb="FF000000"/>
        <rFont val="Calibri"/>
        <family val="2"/>
      </rPr>
      <t>Numerador</t>
    </r>
    <r>
      <rPr>
        <sz val="8"/>
        <color rgb="FF000000"/>
        <rFont val="Calibri"/>
        <family val="2"/>
      </rPr>
      <t>: Nº de protocolos de clínicos/assistenciais conforme padraão</t>
    </r>
  </si>
  <si>
    <r>
      <rPr>
        <b/>
        <sz val="8"/>
        <color rgb="FF000000"/>
        <rFont val="Calibri"/>
        <family val="2"/>
      </rPr>
      <t xml:space="preserve">Denominador: </t>
    </r>
    <r>
      <rPr>
        <sz val="8"/>
        <color rgb="FF000000"/>
        <rFont val="Calibri"/>
        <family val="2"/>
      </rPr>
      <t>N° de protocolos de clínicos assistenciais</t>
    </r>
  </si>
  <si>
    <t>Protocolos</t>
  </si>
  <si>
    <t>Manejo da Dor Aguda no Pós-operatório - Numerador</t>
  </si>
  <si>
    <t>Manejo da Dor Aguda no Pós-operatório - Denominador</t>
  </si>
  <si>
    <t>Abreviação de Jejum - Numerador</t>
  </si>
  <si>
    <t>Abreviação de Jejum - Denominador</t>
  </si>
  <si>
    <t>Prevenção de Náuseas e Vômitos no Pós-operatório (PONV) - Numerador</t>
  </si>
  <si>
    <t>Prevenção de Náuseas e Vômitos no Pós-operatório (PONV) - Denominador</t>
  </si>
  <si>
    <t>Manejo de Cefaleia Pós-raqui  - Numerador</t>
  </si>
  <si>
    <t>Manejo de Cefaleia Pós-raqui - Denominador</t>
  </si>
  <si>
    <t>Classificação (Donabedian)</t>
  </si>
  <si>
    <t>Tipo Funcional</t>
  </si>
  <si>
    <t>INDICADOR</t>
  </si>
  <si>
    <t>META ESTABELECIDA</t>
  </si>
  <si>
    <t>Processo</t>
  </si>
  <si>
    <t>Efetividade clínica</t>
  </si>
  <si>
    <r>
      <rPr>
        <b/>
        <sz val="9"/>
        <color theme="9" tint="-0.499984740745262"/>
        <rFont val="Aptos Narrow"/>
        <family val="2"/>
      </rPr>
      <t>≥</t>
    </r>
    <r>
      <rPr>
        <b/>
        <sz val="9"/>
        <color theme="9" tint="-0.499984740745262"/>
        <rFont val="Aptos Narrow"/>
        <family val="2"/>
        <scheme val="minor"/>
      </rPr>
      <t>95%</t>
    </r>
  </si>
  <si>
    <t>Resultado</t>
  </si>
  <si>
    <r>
      <rPr>
        <b/>
        <sz val="9"/>
        <color theme="9" tint="-0.499984740745262"/>
        <rFont val="Aptos Narrow"/>
        <family val="2"/>
      </rPr>
      <t>≤</t>
    </r>
    <r>
      <rPr>
        <b/>
        <sz val="9"/>
        <color theme="9" tint="-0.499984740745262"/>
        <rFont val="Aptos Narrow"/>
        <family val="2"/>
        <scheme val="minor"/>
      </rPr>
      <t>10%</t>
    </r>
  </si>
  <si>
    <r>
      <rPr>
        <b/>
        <sz val="9"/>
        <color theme="9" tint="-0.499984740745262"/>
        <rFont val="Aptos Narrow"/>
        <family val="2"/>
      </rPr>
      <t>≥</t>
    </r>
    <r>
      <rPr>
        <b/>
        <sz val="9"/>
        <color theme="9" tint="-0.499984740745262"/>
        <rFont val="Aptos Narrow"/>
        <family val="2"/>
        <scheme val="minor"/>
      </rPr>
      <t>60%</t>
    </r>
  </si>
  <si>
    <t>Segurança do paciente</t>
  </si>
  <si>
    <r>
      <rPr>
        <b/>
        <sz val="9"/>
        <color theme="9" tint="-0.499984740745262"/>
        <rFont val="Aptos Narrow"/>
        <family val="2"/>
      </rPr>
      <t>≥</t>
    </r>
    <r>
      <rPr>
        <b/>
        <sz val="9"/>
        <color theme="9" tint="-0.499984740745262"/>
        <rFont val="Aptos Narrow"/>
        <family val="2"/>
        <scheme val="minor"/>
      </rPr>
      <t>90%</t>
    </r>
  </si>
  <si>
    <t>Meta zero / ≤1/100.000 em 48h e ≤5/100.000 em 30d</t>
  </si>
  <si>
    <t>≥98–100%</t>
  </si>
  <si>
    <t>≤2%</t>
  </si>
  <si>
    <t>≤20% global;
 ≤30% em alto risco (Apfel≥3)</t>
  </si>
  <si>
    <t>TAXA DE ADESÃO A ANTIBIOTICOPROFILAXIA ATÉ 60 MINT ANTES DA INCISÃO</t>
  </si>
  <si>
    <t>TAXA DE ADESÃO A ANTIBIOTICOPROFILAXIA DROGA CORRETA</t>
  </si>
  <si>
    <t>TAXA DE ADESÃO A ANTIBIOTICOPROFILAXIA REPIQUE</t>
  </si>
  <si>
    <t>≥95% de uso conforme protocolo;
 incidência CPPD &lt;1% (não obstétrica) 
&lt;3% obstétrica</t>
  </si>
  <si>
    <r>
      <t>≤5%</t>
    </r>
    <r>
      <rPr>
        <sz val="9"/>
        <color theme="9" tint="-0.499984740745262"/>
        <rFont val="Aptos Narrow"/>
        <family val="2"/>
        <scheme val="minor"/>
      </rPr>
      <t xml:space="preserve"> 
</t>
    </r>
    <r>
      <rPr>
        <b/>
        <sz val="9"/>
        <color theme="9" tint="-0.499984740745262"/>
        <rFont val="Aptos Narrow"/>
        <family val="2"/>
        <scheme val="minor"/>
      </rPr>
      <t>≥90%</t>
    </r>
    <r>
      <rPr>
        <sz val="9"/>
        <color theme="9" tint="-0.499984740745262"/>
        <rFont val="Aptos Narrow"/>
        <family val="2"/>
        <scheme val="minor"/>
      </rPr>
      <t xml:space="preserve"> com T° ≥ 36 °C no fim da anestesia</t>
    </r>
  </si>
  <si>
    <t>95% de adesão aos protocolos padronizados até o final de 2025.</t>
  </si>
  <si>
    <t>TAXA DE ADESÃO AOS PROTOCOLOS CLÍNICOS-ASSISTENCIAIS</t>
  </si>
  <si>
    <t>Estrutura</t>
  </si>
  <si>
    <t>Aprendizado / Capacitação</t>
  </si>
  <si>
    <t>TAXA DE PROFISSIONAIS TREINADOS</t>
  </si>
  <si>
    <t>Atingir 80% em 2025</t>
  </si>
  <si>
    <t>Cliente / Satisfação</t>
  </si>
  <si>
    <t>NPS (NET PROMOTER SCORE) ÍNDICE DE SATISFAÇÃO DOS CLIENTES</t>
  </si>
  <si>
    <t>≥ 8,5 pontos</t>
  </si>
  <si>
    <t>Cliente / Imagem e reputação</t>
  </si>
  <si>
    <t>INDICE DE PERCEPÇÃO DE VALOR DOS CLIENTES</t>
  </si>
  <si>
    <t xml:space="preserve">&gt; 4,5
Experiência Geral do Cliente </t>
  </si>
  <si>
    <t>Financeiro / Sustentabilidade</t>
  </si>
  <si>
    <t>LUCRO LIQUIDO</t>
  </si>
  <si>
    <t>Manter resultado positivo anual</t>
  </si>
  <si>
    <t>Financeiro / Eficiência econômica</t>
  </si>
  <si>
    <t>MARGEM LIQUIDA</t>
  </si>
  <si>
    <t>≥10%</t>
  </si>
  <si>
    <t>Financeiro / Crescimento</t>
  </si>
  <si>
    <t>RECEITA BRUTA</t>
  </si>
  <si>
    <t>Aumentar ≥5% vs ano anterior</t>
  </si>
  <si>
    <t>Financeiro / Controle de custos</t>
  </si>
  <si>
    <t>PARTICIPAÇÃO DOS CUSTOS FIXOS</t>
  </si>
  <si>
    <t>≤50%</t>
  </si>
  <si>
    <t>≥95%</t>
  </si>
  <si>
    <t>≤10%</t>
  </si>
  <si>
    <t>≥60%</t>
  </si>
  <si>
    <t>≥90%</t>
  </si>
  <si>
    <t>≤5% 
≥90% com T° ≥ 36 °C no fim da anestesia</t>
  </si>
  <si>
    <t>Indicador</t>
  </si>
  <si>
    <t>Meta recomendada</t>
  </si>
  <si>
    <t>Fundamentação / Referência principal</t>
  </si>
  <si>
    <t>Taxa de procedimentos eletivos com consulta pré-anestésica ambulatorial</t>
  </si>
  <si>
    <r>
      <t xml:space="preserve">≥ </t>
    </r>
    <r>
      <rPr>
        <b/>
        <sz val="11"/>
        <color theme="1"/>
        <rFont val="Aptos Narrow"/>
        <family val="2"/>
        <scheme val="minor"/>
      </rPr>
      <t>95%</t>
    </r>
  </si>
  <si>
    <t>Diretrizes ASA; reduz cancelamentos e eventos adversos</t>
  </si>
  <si>
    <t>Incidência de dor aguda no período intraoperatório até a alta anestésica</t>
  </si>
  <si>
    <r>
      <t xml:space="preserve">≤ </t>
    </r>
    <r>
      <rPr>
        <b/>
        <sz val="11"/>
        <color theme="1"/>
        <rFont val="Aptos Narrow"/>
        <family val="2"/>
        <scheme val="minor"/>
      </rPr>
      <t>10%</t>
    </r>
    <r>
      <rPr>
        <sz val="11"/>
        <color theme="1"/>
        <rFont val="Aptos Narrow"/>
        <family val="2"/>
        <scheme val="minor"/>
      </rPr>
      <t xml:space="preserve"> (global) / ≤ </t>
    </r>
    <r>
      <rPr>
        <b/>
        <sz val="11"/>
        <color theme="1"/>
        <rFont val="Aptos Narrow"/>
        <family val="2"/>
        <scheme val="minor"/>
      </rPr>
      <t>5%</t>
    </r>
    <r>
      <rPr>
        <sz val="11"/>
        <color theme="1"/>
        <rFont val="Aptos Narrow"/>
        <family val="2"/>
        <scheme val="minor"/>
      </rPr>
      <t xml:space="preserve"> (ERAS)</t>
    </r>
  </si>
  <si>
    <t>ASPAN, ASA – controle multimodal da dor</t>
  </si>
  <si>
    <t>Incidência de abreviação do jejum prolongado</t>
  </si>
  <si>
    <r>
      <rPr>
        <b/>
        <sz val="11"/>
        <color theme="1"/>
        <rFont val="Aptos Narrow"/>
        <family val="2"/>
        <scheme val="minor"/>
      </rPr>
      <t>≤10%</t>
    </r>
    <r>
      <rPr>
        <sz val="11"/>
        <color theme="1"/>
        <rFont val="Aptos Narrow"/>
        <family val="2"/>
        <scheme val="minor"/>
      </rPr>
      <t xml:space="preserve"> de não conformidade</t>
    </r>
    <r>
      <rPr>
        <b/>
        <sz val="11"/>
        <color theme="1"/>
        <rFont val="Aptos Narrow"/>
        <family val="2"/>
        <scheme val="minor"/>
      </rPr>
      <t xml:space="preserve"> (≥90% de aderência)</t>
    </r>
  </si>
  <si>
    <t>Diretrizes ASA 2023 / Projeto ACERTO / ERAS</t>
  </si>
  <si>
    <t>Incidência de parada cardiorrespiratória da indução até a alta anestésica</t>
  </si>
  <si>
    <r>
      <t>Meta zero</t>
    </r>
    <r>
      <rPr>
        <sz val="11"/>
        <color theme="1"/>
        <rFont val="Aptos Narrow"/>
        <family val="2"/>
        <scheme val="minor"/>
      </rPr>
      <t xml:space="preserve">; vigilância ≤ </t>
    </r>
    <r>
      <rPr>
        <b/>
        <sz val="11"/>
        <color theme="1"/>
        <rFont val="Aptos Narrow"/>
        <family val="2"/>
        <scheme val="minor"/>
      </rPr>
      <t>1/10.000</t>
    </r>
  </si>
  <si>
    <t>ANZCA, ASA Closed Claims</t>
  </si>
  <si>
    <t>Taxa de mudança de técnica anestésica</t>
  </si>
  <si>
    <r>
      <t xml:space="preserve">≤ </t>
    </r>
    <r>
      <rPr>
        <b/>
        <sz val="11"/>
        <color theme="1"/>
        <rFont val="Aptos Narrow"/>
        <family val="2"/>
        <scheme val="minor"/>
      </rPr>
      <t>5%</t>
    </r>
  </si>
  <si>
    <t>Benchmark operacional; falha técnica = evento rastreável</t>
  </si>
  <si>
    <t>Incidência de pacientes encaminhados para UTI sem planejamento prévio por evento anestésico</t>
  </si>
  <si>
    <r>
      <t>Meta zero</t>
    </r>
    <r>
      <rPr>
        <sz val="11"/>
        <color theme="1"/>
        <rFont val="Aptos Narrow"/>
        <family val="2"/>
        <scheme val="minor"/>
      </rPr>
      <t xml:space="preserve">; referência ≤ </t>
    </r>
    <r>
      <rPr>
        <b/>
        <sz val="11"/>
        <color theme="1"/>
        <rFont val="Aptos Narrow"/>
        <family val="2"/>
        <scheme val="minor"/>
      </rPr>
      <t>0,3%</t>
    </r>
  </si>
  <si>
    <t>Estudos observacionais multicêntricos (ANZCA, ASA)</t>
  </si>
  <si>
    <t>Efetividade do protocolo de controle glicêmico perioperatório</t>
  </si>
  <si>
    <r>
      <t xml:space="preserve">≥ </t>
    </r>
    <r>
      <rPr>
        <b/>
        <sz val="11"/>
        <color theme="1"/>
        <rFont val="Aptos Narrow"/>
        <family val="2"/>
        <scheme val="minor"/>
      </rPr>
      <t>90%</t>
    </r>
  </si>
  <si>
    <t>ADA / Endocrine Society / ERAS</t>
  </si>
  <si>
    <t>Saídas sem eventos relacionados ao ato anestésico</t>
  </si>
  <si>
    <r>
      <t xml:space="preserve">≥ </t>
    </r>
    <r>
      <rPr>
        <b/>
        <sz val="11"/>
        <color theme="1"/>
        <rFont val="Aptos Narrow"/>
        <family val="2"/>
        <scheme val="minor"/>
      </rPr>
      <t>99%</t>
    </r>
  </si>
  <si>
    <t>Padrão de alta confiabilidade (“zero harm”)</t>
  </si>
  <si>
    <t>Taxa de mortalidade associada à anestesia em até 48 horas</t>
  </si>
  <si>
    <r>
      <t>Meta zero</t>
    </r>
    <r>
      <rPr>
        <sz val="11"/>
        <color theme="1"/>
        <rFont val="Aptos Narrow"/>
        <family val="2"/>
        <scheme val="minor"/>
      </rPr>
      <t xml:space="preserve">; vigilância ≤ </t>
    </r>
    <r>
      <rPr>
        <b/>
        <sz val="11"/>
        <color theme="1"/>
        <rFont val="Aptos Narrow"/>
        <family val="2"/>
        <scheme val="minor"/>
      </rPr>
      <t>1/100.000</t>
    </r>
  </si>
  <si>
    <t>ASA, ANZCA, WFSA</t>
  </si>
  <si>
    <t>Taxa de mortalidade associada à anestesia em até 30 dias</t>
  </si>
  <si>
    <r>
      <t>Meta zero</t>
    </r>
    <r>
      <rPr>
        <sz val="11"/>
        <color theme="1"/>
        <rFont val="Aptos Narrow"/>
        <family val="2"/>
        <scheme val="minor"/>
      </rPr>
      <t xml:space="preserve">; vigilância ≤ </t>
    </r>
    <r>
      <rPr>
        <b/>
        <sz val="11"/>
        <color theme="1"/>
        <rFont val="Aptos Narrow"/>
        <family val="2"/>
        <scheme val="minor"/>
      </rPr>
      <t>2–5/100.000</t>
    </r>
  </si>
  <si>
    <t>NAP5 (UK), ANZCA, ESAIC</t>
  </si>
  <si>
    <t>Taxa de estratificação de risco anestésico (ASA) documentada</t>
  </si>
  <si>
    <r>
      <t xml:space="preserve">≥ </t>
    </r>
    <r>
      <rPr>
        <b/>
        <sz val="11"/>
        <color theme="1"/>
        <rFont val="Aptos Narrow"/>
        <family val="2"/>
        <scheme val="minor"/>
      </rPr>
      <t>98–100%</t>
    </r>
  </si>
  <si>
    <t>ASA Standards</t>
  </si>
  <si>
    <t>Incidência de via aérea difícil não identificada no intraoperatório</t>
  </si>
  <si>
    <r>
      <t xml:space="preserve">≤ </t>
    </r>
    <r>
      <rPr>
        <b/>
        <sz val="11"/>
        <color theme="1"/>
        <rFont val="Aptos Narrow"/>
        <family val="2"/>
        <scheme val="minor"/>
      </rPr>
      <t>2%</t>
    </r>
  </si>
  <si>
    <t>ASA Difficult Airway Guidelines</t>
  </si>
  <si>
    <t>Incidência de náusea e vômito até a alta anestésica (PONV)</t>
  </si>
  <si>
    <r>
      <t xml:space="preserve">≤ </t>
    </r>
    <r>
      <rPr>
        <b/>
        <sz val="11"/>
        <color theme="1"/>
        <rFont val="Aptos Narrow"/>
        <family val="2"/>
        <scheme val="minor"/>
      </rPr>
      <t>20%</t>
    </r>
    <r>
      <rPr>
        <sz val="11"/>
        <color theme="1"/>
        <rFont val="Aptos Narrow"/>
        <family val="2"/>
        <scheme val="minor"/>
      </rPr>
      <t xml:space="preserve"> (global) / ≤ </t>
    </r>
    <r>
      <rPr>
        <b/>
        <sz val="11"/>
        <color theme="1"/>
        <rFont val="Aptos Narrow"/>
        <family val="2"/>
        <scheme val="minor"/>
      </rPr>
      <t>30%</t>
    </r>
    <r>
      <rPr>
        <sz val="11"/>
        <color theme="1"/>
        <rFont val="Aptos Narrow"/>
        <family val="2"/>
        <scheme val="minor"/>
      </rPr>
      <t xml:space="preserve"> (alto risco)</t>
    </r>
  </si>
  <si>
    <t>Diretriz PONV 2020</t>
  </si>
  <si>
    <t>Efetividade do protocolo de manejo de intoxicação por anestésicos locais (LAST)</t>
  </si>
  <si>
    <r>
      <t>100%</t>
    </r>
    <r>
      <rPr>
        <sz val="11"/>
        <color theme="1"/>
        <rFont val="Aptos Narrow"/>
        <family val="2"/>
        <scheme val="minor"/>
      </rPr>
      <t xml:space="preserve"> (disponibilidade) / ≥ </t>
    </r>
    <r>
      <rPr>
        <b/>
        <sz val="11"/>
        <color theme="1"/>
        <rFont val="Aptos Narrow"/>
        <family val="2"/>
        <scheme val="minor"/>
      </rPr>
      <t>90%</t>
    </r>
    <r>
      <rPr>
        <sz val="11"/>
        <color theme="1"/>
        <rFont val="Aptos Narrow"/>
        <family val="2"/>
        <scheme val="minor"/>
      </rPr>
      <t xml:space="preserve"> (adesão)</t>
    </r>
  </si>
  <si>
    <t>ASRA Guidelines</t>
  </si>
  <si>
    <t>Taxa de conformidade da profilaxia antimicrobiana cirúrgica</t>
  </si>
  <si>
    <t>ASHP, NICE, WHO Safe Surgery</t>
  </si>
  <si>
    <t>Efetividade do protocolo de prevenção de cefaleia pós-punção dural (CPPD)</t>
  </si>
  <si>
    <r>
      <rPr>
        <b/>
        <sz val="11"/>
        <color theme="1"/>
        <rFont val="Aptos Narrow"/>
        <family val="2"/>
        <scheme val="minor"/>
      </rPr>
      <t>≥95% de uso conforme protocolo</t>
    </r>
    <r>
      <rPr>
        <sz val="11"/>
        <color theme="1"/>
        <rFont val="Aptos Narrow"/>
        <family val="2"/>
        <scheme val="minor"/>
      </rPr>
      <t>; incidência</t>
    </r>
    <r>
      <rPr>
        <b/>
        <sz val="11"/>
        <color theme="1"/>
        <rFont val="Aptos Narrow"/>
        <family val="2"/>
        <scheme val="minor"/>
      </rPr>
      <t xml:space="preserve"> 
CPPD &lt;1% (não obstétrica) e &lt;3% obstétrica</t>
    </r>
  </si>
  <si>
    <t>ESAIC, ASRA</t>
  </si>
  <si>
    <t>Incidência de hipotermia não intencional até a alta anestésica</t>
  </si>
  <si>
    <r>
      <t xml:space="preserve">≤10% </t>
    </r>
    <r>
      <rPr>
        <b/>
        <sz val="11"/>
        <color theme="1"/>
        <rFont val="Aptos Narrow"/>
        <family val="2"/>
        <scheme val="minor"/>
      </rPr>
      <t>(ideal ≤5%)</t>
    </r>
    <r>
      <rPr>
        <sz val="11"/>
        <color theme="1"/>
        <rFont val="Aptos Narrow"/>
        <family val="2"/>
        <scheme val="minor"/>
      </rPr>
      <t xml:space="preserve">; </t>
    </r>
    <r>
      <rPr>
        <b/>
        <sz val="11"/>
        <color theme="1"/>
        <rFont val="Aptos Narrow"/>
        <family val="2"/>
        <scheme val="minor"/>
      </rPr>
      <t>≥90% com T° ≥ 36 °C no fim da anestesia</t>
    </r>
  </si>
  <si>
    <t>NICE / SCIP-INF-10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</si>
</sst>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
    <numFmt numFmtId="166" formatCode="0.000"/>
    <numFmt numFmtId="167" formatCode="0.0"/>
  </numFmts>
  <fonts count="54">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8"/>
      <color rgb="FFFFFFFF"/>
      <name val="Calibri"/>
      <family val="2"/>
    </font>
    <font>
      <sz val="11"/>
      <color rgb="FF000000"/>
      <name val="Aptos Narrow"/>
      <family val="2"/>
      <scheme val="minor"/>
    </font>
    <font>
      <b/>
      <sz val="10"/>
      <color rgb="FFFFFFFF"/>
      <name val="Calibri"/>
    </font>
    <font>
      <b/>
      <sz val="11"/>
      <color rgb="FFFFFFFF"/>
      <name val="Calibri"/>
      <family val="2"/>
    </font>
    <font>
      <sz val="8"/>
      <color rgb="FFFFFFFF"/>
      <name val="Calibri"/>
      <family val="2"/>
    </font>
    <font>
      <sz val="8"/>
      <color rgb="FF000000"/>
      <name val="Calibri"/>
      <family val="2"/>
    </font>
    <font>
      <b/>
      <sz val="9"/>
      <color rgb="FFFFFFFF"/>
      <name val="Calibri"/>
      <family val="2"/>
    </font>
    <font>
      <sz val="10"/>
      <color rgb="FF000000"/>
      <name val="Aptos Narrow"/>
      <family val="2"/>
      <scheme val="minor"/>
    </font>
    <font>
      <b/>
      <sz val="10"/>
      <color rgb="FFFFFFFF"/>
      <name val="Calibri"/>
      <family val="2"/>
    </font>
    <font>
      <sz val="10"/>
      <color theme="1"/>
      <name val="Aptos Narrow"/>
      <family val="2"/>
      <scheme val="minor"/>
    </font>
    <font>
      <sz val="8"/>
      <name val="Aptos Narrow"/>
      <family val="2"/>
      <scheme val="minor"/>
    </font>
    <font>
      <b/>
      <sz val="8"/>
      <color rgb="FF000000"/>
      <name val="Calibri"/>
      <family val="2"/>
    </font>
    <font>
      <b/>
      <sz val="14"/>
      <color rgb="FFFFFFFF"/>
      <name val="Calibri"/>
      <family val="2"/>
    </font>
    <font>
      <sz val="14"/>
      <color rgb="FF000000"/>
      <name val="Aptos Narrow"/>
      <family val="2"/>
      <scheme val="minor"/>
    </font>
    <font>
      <sz val="14"/>
      <color theme="1"/>
      <name val="Aptos Narrow"/>
      <family val="2"/>
      <scheme val="minor"/>
    </font>
    <font>
      <sz val="10"/>
      <color rgb="FFFFFFFF"/>
      <name val="Calibri"/>
      <family val="2"/>
    </font>
    <font>
      <sz val="10"/>
      <color rgb="FF000000"/>
      <name val="Calibri"/>
      <family val="2"/>
    </font>
    <font>
      <sz val="10"/>
      <color theme="0"/>
      <name val="Aptos Narrow"/>
      <family val="2"/>
      <scheme val="minor"/>
    </font>
    <font>
      <b/>
      <sz val="10"/>
      <color rgb="FF000000"/>
      <name val="Calibri"/>
      <family val="2"/>
    </font>
    <font>
      <b/>
      <sz val="10"/>
      <color theme="0"/>
      <name val="Calibri"/>
      <family val="2"/>
    </font>
    <font>
      <b/>
      <sz val="10"/>
      <color theme="0"/>
      <name val="Aptos Narrow"/>
      <family val="2"/>
      <scheme val="minor"/>
    </font>
    <font>
      <b/>
      <sz val="10"/>
      <color theme="1"/>
      <name val="Aptos Narrow"/>
      <family val="2"/>
      <scheme val="minor"/>
    </font>
    <font>
      <b/>
      <sz val="10"/>
      <color rgb="FFFF0000"/>
      <name val="Aptos Narrow"/>
      <family val="2"/>
      <scheme val="minor"/>
    </font>
    <font>
      <b/>
      <sz val="10"/>
      <color theme="9" tint="-0.499984740745262"/>
      <name val="Aptos Narrow"/>
      <family val="2"/>
      <scheme val="minor"/>
    </font>
    <font>
      <sz val="10"/>
      <color rgb="FFFF0000"/>
      <name val="Aptos Narrow"/>
      <family val="2"/>
      <scheme val="minor"/>
    </font>
    <font>
      <sz val="10"/>
      <color theme="9" tint="-0.499984740745262"/>
      <name val="Aptos Narrow"/>
      <family val="2"/>
      <scheme val="minor"/>
    </font>
    <font>
      <b/>
      <sz val="9"/>
      <color theme="0"/>
      <name val="Aptos Narrow"/>
      <family val="2"/>
      <scheme val="minor"/>
    </font>
    <font>
      <b/>
      <sz val="9"/>
      <color theme="9" tint="-0.499984740745262"/>
      <name val="Aptos Narrow"/>
      <family val="2"/>
      <scheme val="minor"/>
    </font>
    <font>
      <b/>
      <sz val="9"/>
      <color theme="9" tint="-0.499984740745262"/>
      <name val="Aptos Narrow"/>
      <family val="2"/>
    </font>
    <font>
      <sz val="9"/>
      <color theme="9" tint="-0.499984740745262"/>
      <name val="Aptos Narrow"/>
      <family val="2"/>
      <scheme val="minor"/>
    </font>
    <font>
      <sz val="9"/>
      <color theme="1"/>
      <name val="Aptos Narrow"/>
      <family val="2"/>
      <scheme val="minor"/>
    </font>
    <font>
      <b/>
      <sz val="8"/>
      <color theme="9" tint="-0.499984740745262"/>
      <name val="Aptos Narrow"/>
      <family val="2"/>
      <scheme val="minor"/>
    </font>
    <font>
      <sz val="9"/>
      <color theme="1"/>
      <name val="Segoe UI"/>
      <family val="2"/>
    </font>
    <font>
      <b/>
      <sz val="11"/>
      <color rgb="FF000000"/>
      <name val="Aptos Narrow"/>
      <family val="2"/>
      <scheme val="minor"/>
    </font>
    <font>
      <b/>
      <sz val="11"/>
      <color rgb="FFFF0000"/>
      <name val="Aptos Narrow"/>
      <family val="2"/>
      <scheme val="minor"/>
    </font>
    <font>
      <b/>
      <sz val="11"/>
      <color theme="4"/>
      <name val="Aptos Narrow"/>
      <family val="2"/>
      <scheme val="minor"/>
    </font>
    <font>
      <sz val="11"/>
      <color theme="4"/>
      <name val="Aptos Narrow"/>
      <family val="2"/>
      <scheme val="minor"/>
    </font>
    <font>
      <b/>
      <sz val="10"/>
      <color rgb="FF000000"/>
      <name val="Aptos Narrow"/>
      <family val="2"/>
      <scheme val="minor"/>
    </font>
    <font>
      <b/>
      <sz val="9"/>
      <color theme="1"/>
      <name val="Aptos Narrow"/>
      <family val="2"/>
      <scheme val="minor"/>
    </font>
    <font>
      <b/>
      <sz val="9"/>
      <color theme="4"/>
      <name val="Aptos Narrow"/>
      <family val="2"/>
      <scheme val="minor"/>
    </font>
    <font>
      <b/>
      <sz val="9"/>
      <color rgb="FFFF0000"/>
      <name val="Aptos Narrow"/>
      <family val="2"/>
      <scheme val="minor"/>
    </font>
    <font>
      <b/>
      <sz val="9"/>
      <color theme="4" tint="-0.249977111117893"/>
      <name val="Aptos Narrow"/>
      <family val="2"/>
      <scheme val="minor"/>
    </font>
    <font>
      <b/>
      <sz val="10"/>
      <color rgb="FFFF0000"/>
      <name val="Calibri"/>
      <family val="2"/>
    </font>
    <font>
      <sz val="9"/>
      <color rgb="FF000000"/>
      <name val="Aptos Narrow"/>
      <family val="2"/>
      <scheme val="minor"/>
    </font>
    <font>
      <b/>
      <sz val="9"/>
      <color rgb="FF000000"/>
      <name val="Aptos Narrow"/>
      <family val="2"/>
      <scheme val="minor"/>
    </font>
    <font>
      <sz val="11"/>
      <color rgb="FF000000"/>
      <name val="Aptos Narrow"/>
      <family val="2"/>
    </font>
    <font>
      <sz val="9"/>
      <color rgb="FF000000"/>
      <name val="Segoe UI"/>
      <family val="2"/>
    </font>
    <font>
      <b/>
      <sz val="11"/>
      <color rgb="FF000000"/>
      <name val="Aptos Narrow"/>
      <family val="2"/>
    </font>
    <font>
      <b/>
      <sz val="9"/>
      <color rgb="FF000000"/>
      <name val="Segoe UI"/>
      <family val="2"/>
    </font>
  </fonts>
  <fills count="55">
    <fill>
      <patternFill patternType="none"/>
    </fill>
    <fill>
      <patternFill patternType="gray125"/>
    </fill>
    <fill>
      <patternFill patternType="solid">
        <fgColor rgb="FF2AA62A"/>
        <bgColor rgb="FF000000"/>
      </patternFill>
    </fill>
    <fill>
      <patternFill patternType="solid">
        <fgColor rgb="FF104861"/>
        <bgColor rgb="FF000000"/>
      </patternFill>
    </fill>
    <fill>
      <patternFill patternType="solid">
        <fgColor rgb="FFF2F2F2"/>
        <bgColor rgb="FF000000"/>
      </patternFill>
    </fill>
    <fill>
      <patternFill patternType="solid">
        <fgColor rgb="FF00B050"/>
        <bgColor rgb="FF000000"/>
      </patternFill>
    </fill>
    <fill>
      <patternFill patternType="solid">
        <fgColor rgb="FF074F69"/>
        <bgColor rgb="FF000000"/>
      </patternFill>
    </fill>
    <fill>
      <patternFill patternType="solid">
        <fgColor rgb="FF4D93D9"/>
        <bgColor rgb="FF000000"/>
      </patternFill>
    </fill>
    <fill>
      <patternFill patternType="solid">
        <fgColor rgb="FF12501A"/>
        <bgColor rgb="FF000000"/>
      </patternFill>
    </fill>
    <fill>
      <patternFill patternType="solid">
        <fgColor rgb="FFFFC000"/>
        <bgColor rgb="FF000000"/>
      </patternFill>
    </fill>
    <fill>
      <patternFill patternType="solid">
        <fgColor theme="0" tint="-0.249977111117893"/>
        <bgColor rgb="FF000000"/>
      </patternFill>
    </fill>
    <fill>
      <patternFill patternType="solid">
        <fgColor theme="4" tint="0.39997558519241921"/>
        <bgColor rgb="FF000000"/>
      </patternFill>
    </fill>
    <fill>
      <patternFill patternType="solid">
        <fgColor theme="3" tint="0.89999084444715716"/>
        <bgColor rgb="FF000000"/>
      </patternFill>
    </fill>
    <fill>
      <patternFill patternType="solid">
        <fgColor theme="2" tint="-0.249977111117893"/>
        <bgColor rgb="FF000000"/>
      </patternFill>
    </fill>
    <fill>
      <patternFill patternType="solid">
        <fgColor theme="2" tint="-0.249977111117893"/>
        <bgColor indexed="64"/>
      </patternFill>
    </fill>
    <fill>
      <patternFill patternType="solid">
        <fgColor rgb="FF002060"/>
        <bgColor rgb="FF000000"/>
      </patternFill>
    </fill>
    <fill>
      <patternFill patternType="solid">
        <fgColor rgb="FF0070C0"/>
        <bgColor rgb="FF000000"/>
      </patternFill>
    </fill>
    <fill>
      <patternFill patternType="solid">
        <fgColor theme="4" tint="0.79998168889431442"/>
        <bgColor rgb="FF000000"/>
      </patternFill>
    </fill>
    <fill>
      <patternFill patternType="solid">
        <fgColor theme="0" tint="-0.34998626667073579"/>
        <bgColor rgb="FF000000"/>
      </patternFill>
    </fill>
    <fill>
      <patternFill patternType="solid">
        <fgColor theme="9" tint="0.39997558519241921"/>
        <bgColor rgb="FF000000"/>
      </patternFill>
    </fill>
    <fill>
      <patternFill patternType="solid">
        <fgColor theme="3" tint="0.249977111117893"/>
        <bgColor rgb="FF000000"/>
      </patternFill>
    </fill>
    <fill>
      <patternFill patternType="solid">
        <fgColor theme="4" tint="-0.249977111117893"/>
        <bgColor rgb="FF000000"/>
      </patternFill>
    </fill>
    <fill>
      <patternFill patternType="solid">
        <fgColor theme="4" tint="-0.499984740745262"/>
        <bgColor rgb="FF000000"/>
      </patternFill>
    </fill>
    <fill>
      <patternFill patternType="solid">
        <fgColor theme="7" tint="-0.499984740745262"/>
        <bgColor rgb="FF000000"/>
      </patternFill>
    </fill>
    <fill>
      <patternFill patternType="solid">
        <fgColor theme="3" tint="0.499984740745262"/>
        <bgColor rgb="FF000000"/>
      </patternFill>
    </fill>
    <fill>
      <patternFill patternType="solid">
        <fgColor theme="0" tint="-0.499984740745262"/>
        <bgColor rgb="FF000000"/>
      </patternFill>
    </fill>
    <fill>
      <patternFill patternType="solid">
        <fgColor theme="3" tint="9.9978637043366805E-2"/>
        <bgColor rgb="FF000000"/>
      </patternFill>
    </fill>
    <fill>
      <patternFill patternType="solid">
        <fgColor theme="3" tint="9.9978637043366805E-2"/>
        <bgColor indexed="64"/>
      </patternFill>
    </fill>
    <fill>
      <patternFill patternType="solid">
        <fgColor theme="0" tint="-0.14999847407452621"/>
        <bgColor indexed="64"/>
      </patternFill>
    </fill>
    <fill>
      <patternFill patternType="solid">
        <fgColor theme="7" tint="0.79998168889431442"/>
        <bgColor rgb="FF000000"/>
      </patternFill>
    </fill>
    <fill>
      <patternFill patternType="solid">
        <fgColor theme="4" tint="-0.249977111117893"/>
        <bgColor indexed="64"/>
      </patternFill>
    </fill>
    <fill>
      <patternFill patternType="solid">
        <fgColor theme="9" tint="-0.249977111117893"/>
        <bgColor rgb="FF000000"/>
      </patternFill>
    </fill>
    <fill>
      <patternFill patternType="solid">
        <fgColor theme="7" tint="-0.249977111117893"/>
        <bgColor rgb="FF000000"/>
      </patternFill>
    </fill>
    <fill>
      <patternFill patternType="solid">
        <fgColor theme="0" tint="-0.14999847407452621"/>
        <bgColor rgb="FF000000"/>
      </patternFill>
    </fill>
    <fill>
      <patternFill patternType="solid">
        <fgColor theme="0" tint="-0.249977111117893"/>
        <bgColor indexed="64"/>
      </patternFill>
    </fill>
    <fill>
      <patternFill patternType="solid">
        <fgColor theme="3" tint="0.89999084444715716"/>
        <bgColor indexed="64"/>
      </patternFill>
    </fill>
    <fill>
      <patternFill patternType="solid">
        <fgColor theme="1" tint="0.499984740745262"/>
        <bgColor rgb="FF000000"/>
      </patternFill>
    </fill>
    <fill>
      <patternFill patternType="solid">
        <fgColor theme="6" tint="0.59999389629810485"/>
        <bgColor rgb="FF000000"/>
      </patternFill>
    </fill>
    <fill>
      <patternFill patternType="solid">
        <fgColor theme="2" tint="-0.499984740745262"/>
        <bgColor rgb="FF000000"/>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C000"/>
        <bgColor indexed="64"/>
      </patternFill>
    </fill>
    <fill>
      <patternFill patternType="solid">
        <fgColor rgb="FFF4F785"/>
        <bgColor indexed="64"/>
      </patternFill>
    </fill>
    <fill>
      <patternFill patternType="solid">
        <fgColor theme="2" tint="-9.9978637043366805E-2"/>
        <bgColor rgb="FF000000"/>
      </patternFill>
    </fill>
    <fill>
      <patternFill patternType="solid">
        <fgColor rgb="FFFFFF00"/>
        <bgColor indexed="64"/>
      </patternFill>
    </fill>
    <fill>
      <patternFill patternType="solid">
        <fgColor rgb="FFDAE9F8"/>
        <bgColor rgb="FF000000"/>
      </patternFill>
    </fill>
    <fill>
      <patternFill patternType="solid">
        <fgColor rgb="FF47D359"/>
        <bgColor rgb="FF000000"/>
      </patternFill>
    </fill>
    <fill>
      <patternFill patternType="solid">
        <fgColor rgb="FFB5E6A2"/>
        <bgColor rgb="FF000000"/>
      </patternFill>
    </fill>
    <fill>
      <patternFill patternType="solid">
        <fgColor rgb="FFD9D9D9"/>
        <bgColor rgb="FF000000"/>
      </patternFill>
    </fill>
  </fills>
  <borders count="72">
    <border>
      <left/>
      <right/>
      <top/>
      <bottom/>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style="thick">
        <color rgb="FFFFFFFF"/>
      </left>
      <right style="thick">
        <color rgb="FFFFFFFF"/>
      </right>
      <top/>
      <bottom/>
      <diagonal/>
    </border>
    <border>
      <left/>
      <right/>
      <top style="thin">
        <color rgb="FF000000"/>
      </top>
      <bottom/>
      <diagonal/>
    </border>
    <border>
      <left/>
      <right style="thick">
        <color rgb="FFFFFFFF"/>
      </right>
      <top/>
      <bottom/>
      <diagonal/>
    </border>
    <border>
      <left/>
      <right style="thin">
        <color indexed="64"/>
      </right>
      <top/>
      <bottom/>
      <diagonal/>
    </border>
    <border>
      <left/>
      <right style="thick">
        <color rgb="FFFFFFFF"/>
      </right>
      <top style="thick">
        <color rgb="FFFFFFFF"/>
      </top>
      <bottom/>
      <diagonal/>
    </border>
    <border>
      <left/>
      <right/>
      <top style="thin">
        <color theme="0"/>
      </top>
      <bottom/>
      <diagonal/>
    </border>
    <border>
      <left style="thin">
        <color theme="0"/>
      </left>
      <right style="thin">
        <color theme="0"/>
      </right>
      <top style="thin">
        <color theme="0"/>
      </top>
      <bottom style="thin">
        <color theme="0"/>
      </bottom>
      <diagonal/>
    </border>
    <border>
      <left/>
      <right style="thick">
        <color rgb="FFFFFFFF"/>
      </right>
      <top/>
      <bottom style="thin">
        <color theme="0"/>
      </bottom>
      <diagonal/>
    </border>
    <border>
      <left style="medium">
        <color indexed="64"/>
      </left>
      <right/>
      <top/>
      <bottom style="thin">
        <color theme="0"/>
      </bottom>
      <diagonal/>
    </border>
    <border>
      <left/>
      <right style="thin">
        <color theme="0"/>
      </right>
      <top/>
      <bottom style="thin">
        <color theme="0"/>
      </bottom>
      <diagonal/>
    </border>
    <border>
      <left style="thick">
        <color rgb="FFFFFFFF"/>
      </left>
      <right style="thick">
        <color rgb="FFFFFFFF"/>
      </right>
      <top style="thick">
        <color rgb="FFFFFFFF"/>
      </top>
      <bottom style="thin">
        <color theme="0"/>
      </bottom>
      <diagonal/>
    </border>
    <border>
      <left/>
      <right/>
      <top/>
      <bottom style="thin">
        <color theme="0"/>
      </bottom>
      <diagonal/>
    </border>
    <border>
      <left style="thick">
        <color rgb="FFFFFFFF"/>
      </left>
      <right style="thin">
        <color theme="0"/>
      </right>
      <top style="thin">
        <color theme="0"/>
      </top>
      <bottom/>
      <diagonal/>
    </border>
    <border>
      <left style="thick">
        <color rgb="FFFFFFFF"/>
      </left>
      <right/>
      <top/>
      <bottom/>
      <diagonal/>
    </border>
    <border>
      <left style="thin">
        <color theme="0"/>
      </left>
      <right/>
      <top/>
      <bottom/>
      <diagonal/>
    </border>
    <border>
      <left style="medium">
        <color indexed="64"/>
      </left>
      <right/>
      <top style="thin">
        <color theme="0"/>
      </top>
      <bottom/>
      <diagonal/>
    </border>
    <border>
      <left/>
      <right style="thick">
        <color rgb="FFFFFFFF"/>
      </right>
      <top style="thick">
        <color rgb="FFFFFFFF"/>
      </top>
      <bottom style="thick">
        <color rgb="FFFFFFFF"/>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thick">
        <color rgb="FFFFFFFF"/>
      </left>
      <right/>
      <top/>
      <bottom style="thick">
        <color rgb="FFFFFFFF"/>
      </bottom>
      <diagonal/>
    </border>
    <border>
      <left/>
      <right/>
      <top/>
      <bottom style="thick">
        <color rgb="FFFFFFFF"/>
      </bottom>
      <diagonal/>
    </border>
    <border>
      <left style="thin">
        <color indexed="64"/>
      </left>
      <right/>
      <top/>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right/>
      <top style="medium">
        <color theme="0"/>
      </top>
      <bottom/>
      <diagonal/>
    </border>
    <border>
      <left style="medium">
        <color theme="0"/>
      </left>
      <right style="medium">
        <color theme="0"/>
      </right>
      <top style="medium">
        <color theme="0"/>
      </top>
      <bottom/>
      <diagonal/>
    </border>
    <border>
      <left style="medium">
        <color indexed="64"/>
      </left>
      <right style="medium">
        <color theme="0"/>
      </right>
      <top style="medium">
        <color theme="0"/>
      </top>
      <bottom style="medium">
        <color theme="0"/>
      </bottom>
      <diagonal/>
    </border>
    <border>
      <left style="medium">
        <color theme="0"/>
      </left>
      <right style="medium">
        <color indexed="64"/>
      </right>
      <top style="medium">
        <color theme="0"/>
      </top>
      <bottom style="medium">
        <color theme="0"/>
      </bottom>
      <diagonal/>
    </border>
    <border>
      <left style="medium">
        <color theme="0"/>
      </left>
      <right/>
      <top style="medium">
        <color theme="0"/>
      </top>
      <bottom/>
      <diagonal/>
    </border>
    <border>
      <left/>
      <right/>
      <top/>
      <bottom style="medium">
        <color theme="0"/>
      </bottom>
      <diagonal/>
    </border>
    <border>
      <left style="medium">
        <color theme="0"/>
      </left>
      <right style="medium">
        <color indexed="64"/>
      </right>
      <top style="medium">
        <color theme="0"/>
      </top>
      <bottom/>
      <diagonal/>
    </border>
    <border>
      <left style="medium">
        <color indexed="64"/>
      </left>
      <right style="medium">
        <color theme="0"/>
      </right>
      <top style="medium">
        <color theme="0"/>
      </top>
      <bottom/>
      <diagonal/>
    </border>
    <border>
      <left/>
      <right style="medium">
        <color theme="0"/>
      </right>
      <top style="medium">
        <color theme="0"/>
      </top>
      <bottom/>
      <diagonal/>
    </border>
    <border>
      <left/>
      <right style="thick">
        <color rgb="FFFFFFFF"/>
      </right>
      <top/>
      <bottom style="thick">
        <color rgb="FFFFFFFF"/>
      </bottom>
      <diagonal/>
    </border>
    <border>
      <left/>
      <right/>
      <top style="thick">
        <color rgb="FFFFFFFF"/>
      </top>
      <bottom/>
      <diagonal/>
    </border>
    <border>
      <left style="medium">
        <color theme="1"/>
      </left>
      <right style="medium">
        <color theme="0"/>
      </right>
      <top style="medium">
        <color theme="0"/>
      </top>
      <bottom/>
      <diagonal/>
    </border>
    <border>
      <left style="medium">
        <color theme="0"/>
      </left>
      <right style="medium">
        <color theme="1"/>
      </right>
      <top style="medium">
        <color theme="0"/>
      </top>
      <bottom/>
      <diagonal/>
    </border>
    <border>
      <left style="thin">
        <color indexed="64"/>
      </left>
      <right/>
      <top/>
      <bottom style="medium">
        <color theme="0"/>
      </bottom>
      <diagonal/>
    </border>
    <border>
      <left style="medium">
        <color theme="0"/>
      </left>
      <right/>
      <top/>
      <bottom style="medium">
        <color theme="0"/>
      </bottom>
      <diagonal/>
    </border>
    <border>
      <left/>
      <right style="medium">
        <color theme="0"/>
      </right>
      <top/>
      <bottom style="medium">
        <color theme="0"/>
      </bottom>
      <diagonal/>
    </border>
    <border>
      <left/>
      <right style="thick">
        <color rgb="FFFFFFFF"/>
      </right>
      <top style="medium">
        <color theme="0"/>
      </top>
      <bottom/>
      <diagonal/>
    </border>
    <border>
      <left style="thick">
        <color rgb="FFFFFFFF"/>
      </left>
      <right style="thick">
        <color rgb="FFFFFFFF"/>
      </right>
      <top style="medium">
        <color theme="0"/>
      </top>
      <bottom style="medium">
        <color theme="0"/>
      </bottom>
      <diagonal/>
    </border>
    <border>
      <left style="thick">
        <color rgb="FFFFFFFF"/>
      </left>
      <right/>
      <top style="medium">
        <color theme="0"/>
      </top>
      <bottom style="medium">
        <color theme="0"/>
      </bottom>
      <diagonal/>
    </border>
    <border>
      <left style="medium">
        <color theme="0"/>
      </left>
      <right style="thick">
        <color rgb="FFFFFFFF"/>
      </right>
      <top style="medium">
        <color theme="0"/>
      </top>
      <bottom style="medium">
        <color theme="0"/>
      </bottom>
      <diagonal/>
    </border>
    <border>
      <left style="thick">
        <color rgb="FFFFFFFF"/>
      </left>
      <right style="medium">
        <color theme="0"/>
      </right>
      <top style="medium">
        <color theme="0"/>
      </top>
      <bottom style="medium">
        <color theme="0"/>
      </bottom>
      <diagonal/>
    </border>
    <border>
      <left style="medium">
        <color theme="0"/>
      </left>
      <right style="medium">
        <color theme="0"/>
      </right>
      <top/>
      <bottom style="medium">
        <color theme="0"/>
      </bottom>
      <diagonal/>
    </border>
    <border>
      <left/>
      <right style="thin">
        <color theme="0"/>
      </right>
      <top style="medium">
        <color theme="0"/>
      </top>
      <bottom/>
      <diagonal/>
    </border>
    <border>
      <left style="medium">
        <color theme="0"/>
      </left>
      <right/>
      <top/>
      <bottom style="thin">
        <color theme="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theme="0"/>
      </right>
      <top/>
      <bottom/>
      <diagonal/>
    </border>
    <border>
      <left style="medium">
        <color theme="0"/>
      </left>
      <right/>
      <top/>
      <bottom/>
      <diagonal/>
    </border>
    <border>
      <left/>
      <right/>
      <top style="medium">
        <color theme="0"/>
      </top>
      <bottom style="medium">
        <color theme="0"/>
      </bottom>
      <diagonal/>
    </border>
    <border>
      <left/>
      <right style="thin">
        <color indexed="64"/>
      </right>
      <top style="thin">
        <color indexed="64"/>
      </top>
      <bottom style="thin">
        <color indexed="64"/>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35">
    <xf numFmtId="0" fontId="0" fillId="0" borderId="0" xfId="0"/>
    <xf numFmtId="0" fontId="6" fillId="0" borderId="0" xfId="0" applyFont="1"/>
    <xf numFmtId="9" fontId="8" fillId="3" borderId="1" xfId="0" applyNumberFormat="1" applyFont="1" applyFill="1" applyBorder="1" applyAlignment="1">
      <alignment horizontal="center" vertical="center"/>
    </xf>
    <xf numFmtId="0" fontId="8"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0" fillId="0" borderId="0" xfId="0" applyAlignment="1">
      <alignment horizontal="center" vertical="center"/>
    </xf>
    <xf numFmtId="0" fontId="10" fillId="4" borderId="2"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15" xfId="0" applyFont="1" applyFill="1" applyBorder="1" applyAlignment="1">
      <alignment horizontal="center" vertical="center"/>
    </xf>
    <xf numFmtId="0" fontId="5" fillId="11" borderId="1" xfId="0" applyFont="1" applyFill="1" applyBorder="1" applyAlignment="1">
      <alignment horizontal="center" vertical="center"/>
    </xf>
    <xf numFmtId="0" fontId="10" fillId="12" borderId="13" xfId="0" applyFont="1" applyFill="1" applyBorder="1" applyAlignment="1">
      <alignment horizontal="center" vertical="center"/>
    </xf>
    <xf numFmtId="9" fontId="8" fillId="3" borderId="1" xfId="2" applyFont="1" applyFill="1" applyBorder="1" applyAlignment="1">
      <alignment horizontal="center" vertical="center"/>
    </xf>
    <xf numFmtId="9" fontId="8" fillId="3" borderId="19" xfId="0" applyNumberFormat="1" applyFont="1" applyFill="1" applyBorder="1" applyAlignment="1">
      <alignment horizontal="center" vertical="center"/>
    </xf>
    <xf numFmtId="0" fontId="0" fillId="0" borderId="0" xfId="0" applyAlignment="1">
      <alignment vertical="center"/>
    </xf>
    <xf numFmtId="0" fontId="14" fillId="0" borderId="0" xfId="0" applyFont="1" applyAlignment="1">
      <alignment horizontal="center" vertical="center"/>
    </xf>
    <xf numFmtId="0" fontId="8" fillId="3" borderId="9" xfId="0" applyFont="1" applyFill="1" applyBorder="1" applyAlignment="1">
      <alignment horizontal="center" vertical="center"/>
    </xf>
    <xf numFmtId="0" fontId="10" fillId="4" borderId="9" xfId="0" applyFont="1" applyFill="1" applyBorder="1" applyAlignment="1">
      <alignment horizontal="center" vertical="center"/>
    </xf>
    <xf numFmtId="0" fontId="6" fillId="0" borderId="20" xfId="0" applyFont="1" applyBorder="1" applyAlignment="1">
      <alignment horizontal="center" vertical="center"/>
    </xf>
    <xf numFmtId="0" fontId="12" fillId="0" borderId="20" xfId="0" applyFont="1" applyBorder="1" applyAlignment="1">
      <alignment vertical="center"/>
    </xf>
    <xf numFmtId="0" fontId="14" fillId="0" borderId="0" xfId="0" applyFont="1"/>
    <xf numFmtId="0" fontId="6" fillId="0" borderId="4" xfId="0" applyFont="1" applyBorder="1"/>
    <xf numFmtId="0" fontId="5" fillId="16" borderId="1" xfId="0" applyFont="1" applyFill="1" applyBorder="1" applyAlignment="1">
      <alignment horizontal="center" vertical="center"/>
    </xf>
    <xf numFmtId="0" fontId="16" fillId="17" borderId="1" xfId="0" applyFont="1" applyFill="1" applyBorder="1" applyAlignment="1">
      <alignment horizontal="center" vertical="center"/>
    </xf>
    <xf numFmtId="10" fontId="8" fillId="3" borderId="1" xfId="0" applyNumberFormat="1" applyFont="1" applyFill="1" applyBorder="1" applyAlignment="1">
      <alignment horizontal="center" vertical="center"/>
    </xf>
    <xf numFmtId="0" fontId="10" fillId="4" borderId="1" xfId="0" applyFont="1" applyFill="1" applyBorder="1" applyAlignment="1">
      <alignment horizontal="center"/>
    </xf>
    <xf numFmtId="0" fontId="9" fillId="24" borderId="1" xfId="0" applyFont="1" applyFill="1" applyBorder="1" applyAlignment="1">
      <alignment horizontal="center" vertical="center"/>
    </xf>
    <xf numFmtId="0" fontId="10" fillId="12" borderId="1" xfId="0" applyFont="1" applyFill="1" applyBorder="1" applyAlignment="1">
      <alignment horizontal="center"/>
    </xf>
    <xf numFmtId="0" fontId="5" fillId="24" borderId="1" xfId="0" applyFont="1" applyFill="1" applyBorder="1" applyAlignment="1">
      <alignment horizontal="center" vertical="center"/>
    </xf>
    <xf numFmtId="0" fontId="10" fillId="4" borderId="19" xfId="0" applyFont="1" applyFill="1" applyBorder="1" applyAlignment="1">
      <alignment horizontal="center" vertical="center"/>
    </xf>
    <xf numFmtId="0" fontId="18" fillId="0" borderId="0" xfId="0" applyFont="1"/>
    <xf numFmtId="0" fontId="19" fillId="0" borderId="0" xfId="0" applyFont="1"/>
    <xf numFmtId="0" fontId="0" fillId="0" borderId="20" xfId="0" applyBorder="1" applyAlignment="1">
      <alignment horizontal="center" vertical="center"/>
    </xf>
    <xf numFmtId="9"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0" fontId="20" fillId="3" borderId="1" xfId="0" applyFont="1" applyFill="1" applyBorder="1" applyAlignment="1">
      <alignment horizontal="center" vertical="center"/>
    </xf>
    <xf numFmtId="0" fontId="21" fillId="4" borderId="1" xfId="0" applyFont="1" applyFill="1" applyBorder="1" applyAlignment="1">
      <alignment horizontal="center" vertical="center"/>
    </xf>
    <xf numFmtId="0" fontId="21" fillId="4" borderId="2" xfId="0" applyFont="1" applyFill="1" applyBorder="1" applyAlignment="1">
      <alignment horizontal="center" vertical="center"/>
    </xf>
    <xf numFmtId="0" fontId="21" fillId="29" borderId="1" xfId="0" applyFont="1" applyFill="1" applyBorder="1" applyAlignment="1">
      <alignment horizontal="center" vertical="center"/>
    </xf>
    <xf numFmtId="0" fontId="20" fillId="32" borderId="1" xfId="0" applyFont="1" applyFill="1" applyBorder="1" applyAlignment="1">
      <alignment horizontal="center" vertical="center"/>
    </xf>
    <xf numFmtId="0" fontId="10" fillId="4" borderId="50" xfId="0" applyFont="1" applyFill="1" applyBorder="1" applyAlignment="1">
      <alignment horizontal="center" vertical="center"/>
    </xf>
    <xf numFmtId="0" fontId="10" fillId="4" borderId="51" xfId="0" applyFont="1" applyFill="1" applyBorder="1" applyAlignment="1">
      <alignment horizontal="center" vertical="center"/>
    </xf>
    <xf numFmtId="0" fontId="10" fillId="4" borderId="52" xfId="0" applyFont="1" applyFill="1" applyBorder="1" applyAlignment="1">
      <alignment horizontal="center" vertical="center"/>
    </xf>
    <xf numFmtId="0" fontId="10" fillId="4" borderId="53" xfId="0" applyFont="1" applyFill="1" applyBorder="1" applyAlignment="1">
      <alignment horizontal="center" vertical="center"/>
    </xf>
    <xf numFmtId="0" fontId="10" fillId="12" borderId="1" xfId="0" applyFont="1" applyFill="1" applyBorder="1" applyAlignment="1">
      <alignment horizontal="center" vertical="center"/>
    </xf>
    <xf numFmtId="0" fontId="9" fillId="32" borderId="1" xfId="0" applyFont="1" applyFill="1" applyBorder="1" applyAlignment="1">
      <alignment horizontal="center" vertical="center"/>
    </xf>
    <xf numFmtId="0" fontId="14" fillId="0" borderId="20" xfId="0" applyFont="1" applyBorder="1" applyAlignment="1">
      <alignment horizontal="center" vertical="center"/>
    </xf>
    <xf numFmtId="0" fontId="14" fillId="0" borderId="20" xfId="0" applyFont="1" applyBorder="1"/>
    <xf numFmtId="0" fontId="14" fillId="0" borderId="20" xfId="0" applyFont="1" applyBorder="1" applyAlignment="1">
      <alignment vertical="center"/>
    </xf>
    <xf numFmtId="9" fontId="13" fillId="3" borderId="20" xfId="0" applyNumberFormat="1" applyFont="1" applyFill="1" applyBorder="1" applyAlignment="1">
      <alignment horizontal="center" vertical="center"/>
    </xf>
    <xf numFmtId="0" fontId="13" fillId="3" borderId="20" xfId="0" applyFont="1" applyFill="1" applyBorder="1" applyAlignment="1">
      <alignment horizontal="center" vertical="center"/>
    </xf>
    <xf numFmtId="0" fontId="20" fillId="3" borderId="20" xfId="0" applyFont="1" applyFill="1" applyBorder="1" applyAlignment="1">
      <alignment horizontal="center" vertical="center"/>
    </xf>
    <xf numFmtId="0" fontId="21" fillId="4" borderId="20" xfId="0" applyFont="1" applyFill="1" applyBorder="1" applyAlignment="1">
      <alignment horizontal="center" vertical="center"/>
    </xf>
    <xf numFmtId="9" fontId="8" fillId="3" borderId="20" xfId="0" applyNumberFormat="1" applyFont="1" applyFill="1" applyBorder="1" applyAlignment="1">
      <alignment horizontal="center" vertical="center"/>
    </xf>
    <xf numFmtId="0" fontId="8" fillId="3" borderId="20" xfId="0" applyFont="1" applyFill="1" applyBorder="1" applyAlignment="1">
      <alignment horizontal="center" vertical="center"/>
    </xf>
    <xf numFmtId="0" fontId="10" fillId="4" borderId="20" xfId="0" applyFont="1" applyFill="1" applyBorder="1" applyAlignment="1">
      <alignment horizontal="center" vertical="center"/>
    </xf>
    <xf numFmtId="0" fontId="9" fillId="32" borderId="20" xfId="0" applyFont="1" applyFill="1" applyBorder="1" applyAlignment="1">
      <alignment horizontal="center" vertical="center"/>
    </xf>
    <xf numFmtId="0" fontId="10" fillId="12" borderId="20" xfId="0" applyFont="1" applyFill="1" applyBorder="1" applyAlignment="1">
      <alignment horizontal="center" vertical="center"/>
    </xf>
    <xf numFmtId="0" fontId="8" fillId="24" borderId="20" xfId="0" applyFont="1" applyFill="1" applyBorder="1" applyAlignment="1">
      <alignment horizontal="center" vertical="center"/>
    </xf>
    <xf numFmtId="0" fontId="9" fillId="24" borderId="20" xfId="0" applyFont="1" applyFill="1" applyBorder="1" applyAlignment="1">
      <alignment horizontal="center" vertical="center"/>
    </xf>
    <xf numFmtId="0" fontId="25" fillId="43" borderId="34" xfId="0" applyFont="1" applyFill="1" applyBorder="1" applyAlignment="1">
      <alignment horizontal="center" vertical="center"/>
    </xf>
    <xf numFmtId="0" fontId="25" fillId="41" borderId="34" xfId="0" applyFont="1" applyFill="1" applyBorder="1" applyAlignment="1">
      <alignment horizontal="center" vertical="center" wrapText="1"/>
    </xf>
    <xf numFmtId="0" fontId="5" fillId="20" borderId="29" xfId="0" applyFont="1" applyFill="1" applyBorder="1" applyAlignment="1">
      <alignment horizontal="center" vertical="center"/>
    </xf>
    <xf numFmtId="0" fontId="16" fillId="12" borderId="29" xfId="0" applyFont="1" applyFill="1" applyBorder="1" applyAlignment="1">
      <alignment horizontal="center" vertical="center"/>
    </xf>
    <xf numFmtId="0" fontId="5" fillId="3" borderId="9" xfId="0" applyFont="1" applyFill="1" applyBorder="1" applyAlignment="1">
      <alignment horizontal="center" vertical="center"/>
    </xf>
    <xf numFmtId="9" fontId="8" fillId="15" borderId="1" xfId="0" applyNumberFormat="1" applyFont="1" applyFill="1" applyBorder="1" applyAlignment="1">
      <alignment horizontal="center" vertical="center"/>
    </xf>
    <xf numFmtId="164" fontId="10" fillId="12" borderId="1" xfId="1" applyNumberFormat="1" applyFont="1" applyFill="1" applyBorder="1" applyAlignment="1">
      <alignment horizontal="center"/>
    </xf>
    <xf numFmtId="164" fontId="10" fillId="12" borderId="1" xfId="1" applyNumberFormat="1" applyFont="1" applyFill="1" applyBorder="1" applyAlignment="1">
      <alignment vertical="center"/>
    </xf>
    <xf numFmtId="165" fontId="8" fillId="3" borderId="1" xfId="0" applyNumberFormat="1" applyFont="1" applyFill="1" applyBorder="1" applyAlignment="1">
      <alignment horizontal="center" vertical="center"/>
    </xf>
    <xf numFmtId="1" fontId="8" fillId="3" borderId="1" xfId="0" applyNumberFormat="1" applyFont="1" applyFill="1" applyBorder="1" applyAlignment="1">
      <alignment horizontal="center" vertical="center"/>
    </xf>
    <xf numFmtId="166" fontId="8" fillId="3" borderId="1" xfId="0" applyNumberFormat="1" applyFont="1" applyFill="1" applyBorder="1" applyAlignment="1">
      <alignment horizontal="center" vertical="center"/>
    </xf>
    <xf numFmtId="1" fontId="8" fillId="23" borderId="1" xfId="0" applyNumberFormat="1" applyFont="1" applyFill="1" applyBorder="1" applyAlignment="1">
      <alignment horizontal="center" vertical="center"/>
    </xf>
    <xf numFmtId="9" fontId="8" fillId="24" borderId="1" xfId="0" applyNumberFormat="1" applyFont="1" applyFill="1" applyBorder="1" applyAlignment="1">
      <alignment horizontal="center" vertical="center"/>
    </xf>
    <xf numFmtId="165" fontId="8" fillId="24" borderId="1" xfId="0" applyNumberFormat="1" applyFont="1" applyFill="1" applyBorder="1" applyAlignment="1">
      <alignment horizontal="center" vertical="center"/>
    </xf>
    <xf numFmtId="1" fontId="16" fillId="29" borderId="1" xfId="0" applyNumberFormat="1" applyFont="1" applyFill="1" applyBorder="1" applyAlignment="1">
      <alignment horizontal="center" vertical="center"/>
    </xf>
    <xf numFmtId="9" fontId="13" fillId="23" borderId="1" xfId="0" applyNumberFormat="1" applyFont="1" applyFill="1" applyBorder="1" applyAlignment="1">
      <alignment horizontal="center" vertical="center"/>
    </xf>
    <xf numFmtId="1" fontId="10" fillId="12" borderId="1" xfId="0" applyNumberFormat="1" applyFont="1" applyFill="1" applyBorder="1" applyAlignment="1">
      <alignment horizontal="center" vertical="center"/>
    </xf>
    <xf numFmtId="0" fontId="9" fillId="20" borderId="1" xfId="0" applyFont="1" applyFill="1" applyBorder="1" applyAlignment="1">
      <alignment horizontal="center" vertical="center"/>
    </xf>
    <xf numFmtId="0" fontId="10" fillId="12" borderId="2" xfId="0" applyFont="1" applyFill="1" applyBorder="1" applyAlignment="1">
      <alignment horizontal="center" vertical="center" wrapText="1"/>
    </xf>
    <xf numFmtId="9" fontId="8" fillId="20" borderId="1" xfId="0" applyNumberFormat="1" applyFont="1" applyFill="1" applyBorder="1" applyAlignment="1">
      <alignment horizontal="center" vertical="center"/>
    </xf>
    <xf numFmtId="0" fontId="16" fillId="12" borderId="1" xfId="0" applyFont="1" applyFill="1" applyBorder="1" applyAlignment="1">
      <alignment horizontal="center" vertical="center"/>
    </xf>
    <xf numFmtId="9" fontId="8" fillId="32" borderId="1" xfId="0" applyNumberFormat="1" applyFont="1" applyFill="1" applyBorder="1" applyAlignment="1">
      <alignment horizontal="center" vertical="center"/>
    </xf>
    <xf numFmtId="9" fontId="13" fillId="32" borderId="20" xfId="0" applyNumberFormat="1" applyFont="1" applyFill="1" applyBorder="1" applyAlignment="1">
      <alignment horizontal="center" vertical="center"/>
    </xf>
    <xf numFmtId="1" fontId="23" fillId="12" borderId="20" xfId="0" applyNumberFormat="1" applyFont="1" applyFill="1" applyBorder="1" applyAlignment="1">
      <alignment horizontal="center" vertical="center"/>
    </xf>
    <xf numFmtId="9" fontId="8" fillId="32" borderId="20" xfId="0" applyNumberFormat="1" applyFont="1" applyFill="1" applyBorder="1" applyAlignment="1">
      <alignment horizontal="center" vertical="center"/>
    </xf>
    <xf numFmtId="9" fontId="14" fillId="40" borderId="20" xfId="0" applyNumberFormat="1" applyFont="1" applyFill="1" applyBorder="1" applyAlignment="1">
      <alignment horizontal="center" vertical="center"/>
    </xf>
    <xf numFmtId="0" fontId="14" fillId="40" borderId="20" xfId="0" applyFont="1" applyFill="1" applyBorder="1" applyAlignment="1">
      <alignment horizontal="center" vertical="center"/>
    </xf>
    <xf numFmtId="1" fontId="14" fillId="40" borderId="20" xfId="0" applyNumberFormat="1" applyFont="1" applyFill="1" applyBorder="1" applyAlignment="1">
      <alignment horizontal="center" vertical="center"/>
    </xf>
    <xf numFmtId="9" fontId="26" fillId="35" borderId="22" xfId="0" applyNumberFormat="1" applyFont="1" applyFill="1" applyBorder="1" applyAlignment="1">
      <alignment horizontal="center" vertical="center"/>
    </xf>
    <xf numFmtId="1" fontId="26" fillId="35" borderId="22" xfId="0" applyNumberFormat="1" applyFont="1" applyFill="1" applyBorder="1" applyAlignment="1">
      <alignment horizontal="center" vertical="center"/>
    </xf>
    <xf numFmtId="9" fontId="29" fillId="44" borderId="20" xfId="0" applyNumberFormat="1" applyFont="1" applyFill="1" applyBorder="1" applyAlignment="1">
      <alignment horizontal="center" vertical="center"/>
    </xf>
    <xf numFmtId="1" fontId="30" fillId="45" borderId="20" xfId="0" applyNumberFormat="1" applyFont="1" applyFill="1" applyBorder="1" applyAlignment="1">
      <alignment horizontal="center" vertical="center"/>
    </xf>
    <xf numFmtId="166" fontId="30" fillId="45" borderId="20" xfId="0" applyNumberFormat="1" applyFont="1" applyFill="1" applyBorder="1" applyAlignment="1">
      <alignment horizontal="center" vertical="center"/>
    </xf>
    <xf numFmtId="9" fontId="28" fillId="45" borderId="20" xfId="0" applyNumberFormat="1" applyFont="1" applyFill="1" applyBorder="1" applyAlignment="1">
      <alignment horizontal="center" vertical="center"/>
    </xf>
    <xf numFmtId="1" fontId="14" fillId="0" borderId="0" xfId="0" applyNumberFormat="1" applyFont="1" applyAlignment="1">
      <alignment horizontal="center" vertical="center"/>
    </xf>
    <xf numFmtId="0" fontId="14" fillId="40" borderId="20" xfId="0" applyFont="1" applyFill="1" applyBorder="1" applyAlignment="1">
      <alignment horizontal="center" vertical="center" wrapText="1"/>
    </xf>
    <xf numFmtId="165" fontId="8" fillId="3" borderId="1" xfId="2" applyNumberFormat="1" applyFont="1" applyFill="1" applyBorder="1" applyAlignment="1">
      <alignment horizontal="center" vertical="center"/>
    </xf>
    <xf numFmtId="9" fontId="8" fillId="32" borderId="1" xfId="2" applyFont="1" applyFill="1" applyBorder="1" applyAlignment="1">
      <alignment horizontal="center" vertical="center"/>
    </xf>
    <xf numFmtId="9" fontId="28" fillId="45" borderId="20" xfId="2" applyFont="1" applyFill="1" applyBorder="1" applyAlignment="1">
      <alignment horizontal="center" vertical="center"/>
    </xf>
    <xf numFmtId="9" fontId="27" fillId="44" borderId="20" xfId="0" applyNumberFormat="1" applyFont="1" applyFill="1" applyBorder="1" applyAlignment="1">
      <alignment horizontal="center" vertical="center"/>
    </xf>
    <xf numFmtId="10" fontId="8" fillId="3" borderId="20" xfId="2" applyNumberFormat="1" applyFont="1" applyFill="1" applyBorder="1" applyAlignment="1">
      <alignment horizontal="center" vertical="center"/>
    </xf>
    <xf numFmtId="165" fontId="28" fillId="45" borderId="20" xfId="2" applyNumberFormat="1" applyFont="1" applyFill="1" applyBorder="1" applyAlignment="1">
      <alignment horizontal="center" vertical="center"/>
    </xf>
    <xf numFmtId="0" fontId="35" fillId="0" borderId="0" xfId="0" applyFont="1"/>
    <xf numFmtId="0" fontId="3" fillId="0" borderId="48" xfId="0" applyFont="1" applyBorder="1" applyAlignment="1">
      <alignment horizontal="center" vertical="center"/>
    </xf>
    <xf numFmtId="0" fontId="3" fillId="0" borderId="54" xfId="0" applyFont="1" applyBorder="1" applyAlignment="1">
      <alignment horizontal="center" vertical="center"/>
    </xf>
    <xf numFmtId="0" fontId="3" fillId="0" borderId="47" xfId="0" applyFont="1" applyBorder="1" applyAlignment="1">
      <alignment horizontal="center" vertical="center"/>
    </xf>
    <xf numFmtId="0" fontId="0" fillId="0" borderId="22" xfId="0" applyBorder="1" applyAlignment="1">
      <alignment vertical="center"/>
    </xf>
    <xf numFmtId="0" fontId="0" fillId="0" borderId="21" xfId="0" applyBorder="1" applyAlignment="1">
      <alignment horizontal="center" vertical="center"/>
    </xf>
    <xf numFmtId="0" fontId="3" fillId="0" borderId="20" xfId="0" applyFont="1" applyBorder="1" applyAlignment="1">
      <alignment horizontal="center" vertical="center"/>
    </xf>
    <xf numFmtId="0" fontId="0" fillId="0" borderId="20" xfId="0" applyBorder="1" applyAlignment="1">
      <alignment horizontal="center" vertical="center" wrapText="1"/>
    </xf>
    <xf numFmtId="0" fontId="0" fillId="0" borderId="41" xfId="0" applyBorder="1" applyAlignment="1">
      <alignment vertical="center"/>
    </xf>
    <xf numFmtId="0" fontId="0" fillId="0" borderId="34" xfId="0" applyBorder="1" applyAlignment="1">
      <alignment horizontal="center" vertical="center" wrapText="1"/>
    </xf>
    <xf numFmtId="0" fontId="0" fillId="0" borderId="37" xfId="0" applyBorder="1" applyAlignment="1">
      <alignment horizontal="center" vertical="center"/>
    </xf>
    <xf numFmtId="165" fontId="30" fillId="45" borderId="20" xfId="2" applyNumberFormat="1" applyFont="1" applyFill="1" applyBorder="1" applyAlignment="1">
      <alignment horizontal="center" vertical="center"/>
    </xf>
    <xf numFmtId="9" fontId="8" fillId="3" borderId="9" xfId="2" applyFont="1" applyFill="1" applyBorder="1" applyAlignment="1">
      <alignment horizontal="center" vertical="center"/>
    </xf>
    <xf numFmtId="9" fontId="8" fillId="20" borderId="29" xfId="2" applyFont="1" applyFill="1" applyBorder="1" applyAlignment="1">
      <alignment horizontal="center" vertical="center"/>
    </xf>
    <xf numFmtId="9" fontId="26" fillId="35" borderId="22" xfId="2" applyFont="1" applyFill="1" applyBorder="1" applyAlignment="1">
      <alignment horizontal="center" vertical="center"/>
    </xf>
    <xf numFmtId="9" fontId="8" fillId="24" borderId="1" xfId="2" applyFont="1" applyFill="1" applyBorder="1" applyAlignment="1">
      <alignment horizontal="center" vertical="center"/>
    </xf>
    <xf numFmtId="165" fontId="14" fillId="40" borderId="20" xfId="2" applyNumberFormat="1" applyFont="1" applyFill="1" applyBorder="1" applyAlignment="1">
      <alignment horizontal="center" vertical="center"/>
    </xf>
    <xf numFmtId="9" fontId="26" fillId="35" borderId="0" xfId="2" applyFont="1" applyFill="1" applyAlignment="1">
      <alignment horizontal="center" vertical="center"/>
    </xf>
    <xf numFmtId="0" fontId="32" fillId="48" borderId="20" xfId="0" applyFont="1" applyFill="1" applyBorder="1" applyAlignment="1">
      <alignment horizontal="center" vertical="center"/>
    </xf>
    <xf numFmtId="1" fontId="32" fillId="48" borderId="20" xfId="0" applyNumberFormat="1" applyFont="1" applyFill="1" applyBorder="1" applyAlignment="1">
      <alignment horizontal="center" vertical="center" wrapText="1"/>
    </xf>
    <xf numFmtId="0" fontId="32" fillId="48" borderId="20" xfId="0" applyFont="1" applyFill="1" applyBorder="1" applyAlignment="1">
      <alignment horizontal="center" vertical="center" wrapText="1"/>
    </xf>
    <xf numFmtId="0" fontId="33" fillId="48" borderId="20" xfId="0" applyFont="1" applyFill="1" applyBorder="1" applyAlignment="1">
      <alignment horizontal="center" vertical="center"/>
    </xf>
    <xf numFmtId="0" fontId="36" fillId="48" borderId="20" xfId="0" applyFont="1" applyFill="1" applyBorder="1" applyAlignment="1">
      <alignment horizontal="center" vertical="center" wrapText="1"/>
    </xf>
    <xf numFmtId="0" fontId="25" fillId="46" borderId="38" xfId="0" applyFont="1" applyFill="1" applyBorder="1" applyAlignment="1">
      <alignment horizontal="center" vertical="center" wrapText="1"/>
    </xf>
    <xf numFmtId="0" fontId="0" fillId="40" borderId="20" xfId="0" applyFill="1" applyBorder="1" applyAlignment="1">
      <alignment horizontal="center" vertical="center" wrapText="1"/>
    </xf>
    <xf numFmtId="0" fontId="9" fillId="3" borderId="34" xfId="0" applyFont="1" applyFill="1" applyBorder="1" applyAlignment="1">
      <alignment horizontal="center" vertical="center"/>
    </xf>
    <xf numFmtId="0" fontId="37" fillId="0" borderId="57" xfId="0" applyFont="1" applyBorder="1" applyAlignment="1">
      <alignment vertical="center"/>
    </xf>
    <xf numFmtId="0" fontId="9" fillId="24" borderId="34" xfId="0" applyFont="1" applyFill="1" applyBorder="1" applyAlignment="1">
      <alignment horizontal="center" vertical="center"/>
    </xf>
    <xf numFmtId="9" fontId="8" fillId="3" borderId="20" xfId="2" applyFont="1" applyFill="1" applyBorder="1" applyAlignment="1">
      <alignment horizontal="center" vertical="center"/>
    </xf>
    <xf numFmtId="9" fontId="8" fillId="24" borderId="20" xfId="2" applyFont="1" applyFill="1" applyBorder="1" applyAlignment="1">
      <alignment horizontal="center" vertical="center"/>
    </xf>
    <xf numFmtId="1" fontId="10" fillId="4" borderId="20" xfId="0" applyNumberFormat="1" applyFont="1" applyFill="1" applyBorder="1" applyAlignment="1">
      <alignment horizontal="center" vertical="center"/>
    </xf>
    <xf numFmtId="167" fontId="28" fillId="45" borderId="20" xfId="0" applyNumberFormat="1" applyFont="1" applyFill="1" applyBorder="1" applyAlignment="1">
      <alignment horizontal="center" vertical="center"/>
    </xf>
    <xf numFmtId="9" fontId="8" fillId="16" borderId="1" xfId="2" applyFont="1" applyFill="1" applyBorder="1" applyAlignment="1">
      <alignment horizontal="center" vertical="center"/>
    </xf>
    <xf numFmtId="0" fontId="13" fillId="5" borderId="34" xfId="0" applyFont="1" applyFill="1" applyBorder="1" applyAlignment="1">
      <alignment horizontal="center" vertical="center" wrapText="1"/>
    </xf>
    <xf numFmtId="0" fontId="31" fillId="47" borderId="54" xfId="0" applyFont="1" applyFill="1" applyBorder="1" applyAlignment="1">
      <alignment horizontal="center" vertical="center"/>
    </xf>
    <xf numFmtId="0" fontId="25" fillId="42" borderId="48" xfId="0" applyFont="1" applyFill="1" applyBorder="1" applyAlignment="1">
      <alignment horizontal="center" vertical="center"/>
    </xf>
    <xf numFmtId="0" fontId="25" fillId="46" borderId="38" xfId="0" applyFont="1" applyFill="1" applyBorder="1" applyAlignment="1">
      <alignment horizontal="center" vertical="center"/>
    </xf>
    <xf numFmtId="9" fontId="28" fillId="45" borderId="20" xfId="2" applyNumberFormat="1" applyFont="1" applyFill="1" applyBorder="1" applyAlignment="1">
      <alignment horizontal="center" vertical="center"/>
    </xf>
    <xf numFmtId="0" fontId="14" fillId="0" borderId="0" xfId="0" applyFont="1" applyAlignment="1">
      <alignment horizontal="center"/>
    </xf>
    <xf numFmtId="0" fontId="0" fillId="0" borderId="57" xfId="0" applyBorder="1" applyAlignment="1">
      <alignment horizontal="center" vertical="center"/>
    </xf>
    <xf numFmtId="9" fontId="0" fillId="0" borderId="0" xfId="0" applyNumberFormat="1"/>
    <xf numFmtId="9" fontId="8" fillId="3" borderId="20" xfId="2" applyNumberFormat="1" applyFont="1" applyFill="1" applyBorder="1" applyAlignment="1">
      <alignment horizontal="center" vertical="center"/>
    </xf>
    <xf numFmtId="0" fontId="51" fillId="4" borderId="64" xfId="0" applyFont="1" applyFill="1" applyBorder="1" applyAlignment="1"/>
    <xf numFmtId="0" fontId="50" fillId="4" borderId="64" xfId="0" applyFont="1" applyFill="1" applyBorder="1" applyAlignment="1"/>
    <xf numFmtId="0" fontId="51" fillId="4" borderId="59" xfId="0" applyFont="1" applyFill="1" applyBorder="1" applyAlignment="1"/>
    <xf numFmtId="0" fontId="50" fillId="4" borderId="59" xfId="0" applyFont="1" applyFill="1" applyBorder="1" applyAlignment="1"/>
    <xf numFmtId="0" fontId="53" fillId="51" borderId="59" xfId="0" applyFont="1" applyFill="1" applyBorder="1" applyAlignment="1"/>
    <xf numFmtId="0" fontId="52" fillId="51" borderId="59" xfId="0" applyFont="1" applyFill="1" applyBorder="1" applyAlignment="1"/>
    <xf numFmtId="0" fontId="53" fillId="52" borderId="59" xfId="0" applyFont="1" applyFill="1" applyBorder="1" applyAlignment="1"/>
    <xf numFmtId="0" fontId="52" fillId="52" borderId="59" xfId="0" applyFont="1" applyFill="1" applyBorder="1" applyAlignment="1"/>
    <xf numFmtId="0" fontId="51" fillId="0" borderId="59" xfId="0" applyFont="1" applyFill="1" applyBorder="1" applyAlignment="1"/>
    <xf numFmtId="0" fontId="50" fillId="0" borderId="59" xfId="0" applyFont="1" applyFill="1" applyBorder="1" applyAlignment="1"/>
    <xf numFmtId="0" fontId="51" fillId="53" borderId="59" xfId="0" applyFont="1" applyFill="1" applyBorder="1" applyAlignment="1"/>
    <xf numFmtId="0" fontId="50" fillId="53" borderId="59" xfId="0" applyFont="1" applyFill="1" applyBorder="1" applyAlignment="1"/>
    <xf numFmtId="0" fontId="51" fillId="54" borderId="59" xfId="0" applyFont="1" applyFill="1" applyBorder="1" applyAlignment="1"/>
    <xf numFmtId="0" fontId="50" fillId="54" borderId="59" xfId="0" applyFont="1" applyFill="1" applyBorder="1" applyAlignment="1"/>
    <xf numFmtId="0" fontId="51" fillId="51" borderId="59" xfId="0" applyFont="1" applyFill="1" applyBorder="1" applyAlignment="1"/>
    <xf numFmtId="0" fontId="50" fillId="51" borderId="59" xfId="0" applyFont="1" applyFill="1" applyBorder="1" applyAlignment="1"/>
    <xf numFmtId="0" fontId="10" fillId="4" borderId="68" xfId="0" applyFont="1" applyFill="1" applyBorder="1" applyAlignment="1">
      <alignment horizontal="center"/>
    </xf>
    <xf numFmtId="0" fontId="10" fillId="4" borderId="69" xfId="0" applyFont="1" applyFill="1" applyBorder="1" applyAlignment="1">
      <alignment horizontal="center"/>
    </xf>
    <xf numFmtId="0" fontId="10" fillId="4" borderId="70" xfId="0" applyFont="1" applyFill="1" applyBorder="1" applyAlignment="1">
      <alignment horizontal="center"/>
    </xf>
    <xf numFmtId="0" fontId="10" fillId="4" borderId="71" xfId="0" applyFont="1" applyFill="1" applyBorder="1" applyAlignment="1">
      <alignment horizontal="center"/>
    </xf>
    <xf numFmtId="2" fontId="0" fillId="0" borderId="0" xfId="0" applyNumberFormat="1"/>
    <xf numFmtId="0" fontId="13" fillId="5" borderId="2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6" fillId="0" borderId="20" xfId="0" applyFont="1" applyBorder="1" applyAlignment="1">
      <alignment horizontal="center"/>
    </xf>
    <xf numFmtId="0" fontId="0" fillId="0" borderId="20" xfId="0" applyBorder="1" applyAlignment="1">
      <alignment horizontal="center"/>
    </xf>
    <xf numFmtId="0" fontId="11" fillId="5" borderId="34" xfId="0" applyFont="1" applyFill="1" applyBorder="1" applyAlignment="1">
      <alignment horizontal="center" vertical="center" wrapText="1"/>
    </xf>
    <xf numFmtId="0" fontId="12" fillId="0" borderId="20" xfId="0" applyFont="1" applyBorder="1" applyAlignment="1">
      <alignment horizontal="center" vertical="center"/>
    </xf>
    <xf numFmtId="0" fontId="13" fillId="32" borderId="20" xfId="0" applyFont="1" applyFill="1" applyBorder="1" applyAlignment="1">
      <alignment horizontal="center" vertical="center"/>
    </xf>
    <xf numFmtId="0" fontId="9" fillId="3" borderId="20" xfId="0" applyFont="1" applyFill="1" applyBorder="1" applyAlignment="1">
      <alignment horizontal="center" vertical="center"/>
    </xf>
    <xf numFmtId="0" fontId="0" fillId="0" borderId="57" xfId="0" applyBorder="1" applyAlignment="1">
      <alignment horizontal="center"/>
    </xf>
    <xf numFmtId="0" fontId="13" fillId="5" borderId="20"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3" fillId="7" borderId="20" xfId="0" applyFont="1" applyFill="1" applyBorder="1" applyAlignment="1">
      <alignment horizontal="center" vertical="center" wrapText="1"/>
    </xf>
    <xf numFmtId="0" fontId="13" fillId="8" borderId="20" xfId="0" applyFont="1" applyFill="1" applyBorder="1" applyAlignment="1">
      <alignment horizontal="center" vertical="center" wrapText="1"/>
    </xf>
    <xf numFmtId="0" fontId="13" fillId="9" borderId="20" xfId="0" applyFont="1" applyFill="1" applyBorder="1" applyAlignment="1">
      <alignment horizontal="center" vertical="center" wrapText="1"/>
    </xf>
    <xf numFmtId="0" fontId="6" fillId="0" borderId="20" xfId="0" applyFont="1" applyBorder="1" applyAlignment="1">
      <alignment horizontal="center"/>
    </xf>
    <xf numFmtId="0" fontId="0" fillId="0" borderId="20" xfId="0" applyBorder="1" applyAlignment="1">
      <alignment horizontal="center"/>
    </xf>
    <xf numFmtId="0" fontId="14" fillId="0" borderId="20" xfId="0" applyFont="1" applyBorder="1" applyAlignment="1">
      <alignment horizontal="center" vertical="center" wrapText="1"/>
    </xf>
    <xf numFmtId="0" fontId="12" fillId="0" borderId="20" xfId="0" applyFont="1" applyBorder="1" applyAlignment="1">
      <alignment horizontal="center" vertical="center" wrapText="1"/>
    </xf>
    <xf numFmtId="0" fontId="7" fillId="2" borderId="23"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10" fillId="10" borderId="17" xfId="0" applyFont="1" applyFill="1" applyBorder="1" applyAlignment="1">
      <alignment horizontal="center" vertical="center" wrapText="1"/>
    </xf>
    <xf numFmtId="0" fontId="10" fillId="10" borderId="0" xfId="0" applyFont="1" applyFill="1" applyAlignment="1">
      <alignment horizontal="center" vertical="center" wrapText="1"/>
    </xf>
    <xf numFmtId="0" fontId="11" fillId="9" borderId="20" xfId="0" applyFont="1" applyFill="1" applyBorder="1" applyAlignment="1">
      <alignment horizontal="center" vertical="center" wrapText="1"/>
    </xf>
    <xf numFmtId="0" fontId="11" fillId="6"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7" fillId="2" borderId="21"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5"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1" fillId="10" borderId="18"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2" borderId="55" xfId="0" applyFont="1" applyFill="1" applyBorder="1" applyAlignment="1">
      <alignment horizontal="center" vertical="center" wrapText="1"/>
    </xf>
    <xf numFmtId="0" fontId="5" fillId="2" borderId="56"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10" fillId="4" borderId="28"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5" fillId="2" borderId="26" xfId="0" applyFont="1" applyFill="1" applyBorder="1" applyAlignment="1">
      <alignment horizontal="center" vertical="center"/>
    </xf>
    <xf numFmtId="0" fontId="5" fillId="2" borderId="27" xfId="0" applyFont="1" applyFill="1" applyBorder="1" applyAlignment="1">
      <alignment horizontal="center" vertical="center"/>
    </xf>
    <xf numFmtId="0" fontId="11" fillId="13" borderId="30" xfId="0" applyFont="1" applyFill="1" applyBorder="1" applyAlignment="1">
      <alignment horizontal="center" vertical="center" wrapText="1"/>
    </xf>
    <xf numFmtId="0" fontId="11" fillId="13" borderId="31" xfId="0" applyFont="1" applyFill="1" applyBorder="1" applyAlignment="1">
      <alignment horizontal="center" vertical="center" wrapText="1"/>
    </xf>
    <xf numFmtId="0" fontId="4" fillId="14" borderId="31" xfId="0" applyFont="1" applyFill="1" applyBorder="1" applyAlignment="1">
      <alignment horizontal="center"/>
    </xf>
    <xf numFmtId="0" fontId="4" fillId="14" borderId="32" xfId="0" applyFont="1" applyFill="1" applyBorder="1" applyAlignment="1">
      <alignment horizontal="center"/>
    </xf>
    <xf numFmtId="0" fontId="11" fillId="5" borderId="34" xfId="0" applyFont="1" applyFill="1" applyBorder="1" applyAlignment="1">
      <alignment horizontal="center" vertical="center" wrapText="1"/>
    </xf>
    <xf numFmtId="0" fontId="11" fillId="6" borderId="34" xfId="0" applyFont="1" applyFill="1" applyBorder="1" applyAlignment="1">
      <alignment horizontal="center" vertical="center" wrapText="1"/>
    </xf>
    <xf numFmtId="0" fontId="11" fillId="7" borderId="34" xfId="0" applyFont="1" applyFill="1" applyBorder="1" applyAlignment="1">
      <alignment horizontal="center" vertical="center" wrapText="1"/>
    </xf>
    <xf numFmtId="0" fontId="13" fillId="2" borderId="28" xfId="0" applyFont="1" applyFill="1" applyBorder="1" applyAlignment="1">
      <alignment horizontal="center" vertical="center"/>
    </xf>
    <xf numFmtId="0" fontId="13" fillId="2" borderId="9" xfId="0" applyFont="1" applyFill="1" applyBorder="1" applyAlignment="1">
      <alignment horizontal="center" vertical="center"/>
    </xf>
    <xf numFmtId="0" fontId="11" fillId="8" borderId="34" xfId="0" applyFont="1" applyFill="1" applyBorder="1" applyAlignment="1">
      <alignment horizontal="center" vertical="center" wrapText="1"/>
    </xf>
    <xf numFmtId="0" fontId="11" fillId="9" borderId="34" xfId="0" applyFont="1" applyFill="1" applyBorder="1" applyAlignment="1">
      <alignment horizontal="center" vertical="center" wrapText="1"/>
    </xf>
    <xf numFmtId="0" fontId="6" fillId="0" borderId="20"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0" xfId="0" applyFont="1" applyAlignment="1">
      <alignment horizontal="center" vertical="center" wrapText="1"/>
    </xf>
    <xf numFmtId="0" fontId="6" fillId="0" borderId="61"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48" xfId="0" applyFont="1" applyBorder="1" applyAlignment="1">
      <alignment horizontal="center" vertical="center" wrapText="1"/>
    </xf>
    <xf numFmtId="0" fontId="12" fillId="0" borderId="20" xfId="0" applyFont="1" applyBorder="1" applyAlignment="1">
      <alignment horizontal="center" vertical="center"/>
    </xf>
    <xf numFmtId="0" fontId="5" fillId="2" borderId="16" xfId="0" applyFont="1" applyFill="1" applyBorder="1" applyAlignment="1">
      <alignment horizontal="center" vertical="center"/>
    </xf>
    <xf numFmtId="0" fontId="5" fillId="2" borderId="0" xfId="0" applyFont="1" applyFill="1" applyAlignment="1">
      <alignment horizontal="center" vertical="center"/>
    </xf>
    <xf numFmtId="0" fontId="10" fillId="13" borderId="25" xfId="0" applyFont="1" applyFill="1" applyBorder="1" applyAlignment="1">
      <alignment horizontal="center" vertical="center" wrapText="1"/>
    </xf>
    <xf numFmtId="0" fontId="10" fillId="13" borderId="0" xfId="0" applyFont="1" applyFill="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5" xfId="0" applyFont="1" applyFill="1" applyBorder="1" applyAlignment="1">
      <alignment horizontal="center" vertical="center" wrapText="1"/>
    </xf>
    <xf numFmtId="0" fontId="11" fillId="13" borderId="0" xfId="0" applyFont="1" applyFill="1" applyAlignment="1">
      <alignment horizontal="center" vertical="center" wrapText="1"/>
    </xf>
    <xf numFmtId="0" fontId="11" fillId="13" borderId="6" xfId="0" applyFont="1" applyFill="1" applyBorder="1" applyAlignment="1">
      <alignment horizontal="center" vertical="center" wrapText="1"/>
    </xf>
    <xf numFmtId="0" fontId="0" fillId="0" borderId="33" xfId="0" applyBorder="1" applyAlignment="1">
      <alignment horizontal="center"/>
    </xf>
    <xf numFmtId="0" fontId="35" fillId="0" borderId="33" xfId="0" applyFont="1" applyBorder="1" applyAlignment="1">
      <alignment horizontal="center" vertical="center" wrapText="1"/>
    </xf>
    <xf numFmtId="0" fontId="35" fillId="0" borderId="33" xfId="0" applyFont="1" applyBorder="1" applyAlignment="1">
      <alignment horizontal="center" vertical="center"/>
    </xf>
    <xf numFmtId="0" fontId="0" fillId="0" borderId="33" xfId="0" applyBorder="1" applyAlignment="1">
      <alignment horizontal="center" vertical="center"/>
    </xf>
    <xf numFmtId="0" fontId="35" fillId="0" borderId="33" xfId="0" applyFont="1" applyBorder="1" applyAlignment="1">
      <alignment horizontal="center" wrapText="1"/>
    </xf>
    <xf numFmtId="0" fontId="35" fillId="0" borderId="33" xfId="0" applyFont="1" applyBorder="1" applyAlignment="1">
      <alignment horizontal="center"/>
    </xf>
    <xf numFmtId="0" fontId="8" fillId="22" borderId="16" xfId="0" applyFont="1" applyFill="1" applyBorder="1" applyAlignment="1">
      <alignment horizontal="center" vertical="center"/>
    </xf>
    <xf numFmtId="0" fontId="8" fillId="22" borderId="0" xfId="0" applyFont="1" applyFill="1" applyAlignment="1">
      <alignment horizontal="center" vertical="center"/>
    </xf>
    <xf numFmtId="0" fontId="38" fillId="0" borderId="37" xfId="0" applyFont="1" applyBorder="1" applyAlignment="1">
      <alignment horizontal="center"/>
    </xf>
    <xf numFmtId="0" fontId="6" fillId="0" borderId="33" xfId="0" applyFont="1" applyBorder="1" applyAlignment="1">
      <alignment horizontal="center"/>
    </xf>
    <xf numFmtId="0" fontId="6" fillId="0" borderId="41" xfId="0" applyFont="1" applyBorder="1" applyAlignment="1">
      <alignment horizontal="center"/>
    </xf>
    <xf numFmtId="0" fontId="5" fillId="21" borderId="0" xfId="0" applyFont="1" applyFill="1" applyAlignment="1">
      <alignment horizontal="center" vertical="center" wrapText="1"/>
    </xf>
    <xf numFmtId="0" fontId="5" fillId="21" borderId="5" xfId="0" applyFont="1" applyFill="1" applyBorder="1" applyAlignment="1">
      <alignment horizontal="center" vertical="center" wrapText="1"/>
    </xf>
    <xf numFmtId="0" fontId="10" fillId="4" borderId="36" xfId="0" applyFont="1" applyFill="1" applyBorder="1" applyAlignment="1">
      <alignment horizontal="center" vertical="center" wrapText="1"/>
    </xf>
    <xf numFmtId="0" fontId="10" fillId="4" borderId="35"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10" fillId="4" borderId="40" xfId="0" applyFont="1" applyFill="1" applyBorder="1" applyAlignment="1">
      <alignment horizontal="center" vertical="center" wrapText="1"/>
    </xf>
    <xf numFmtId="0" fontId="11" fillId="18" borderId="37" xfId="0" applyFont="1" applyFill="1" applyBorder="1" applyAlignment="1">
      <alignment horizontal="center" vertical="center" wrapText="1"/>
    </xf>
    <xf numFmtId="0" fontId="11" fillId="18" borderId="33" xfId="0" applyFont="1" applyFill="1" applyBorder="1" applyAlignment="1">
      <alignment horizontal="center" vertical="center" wrapText="1"/>
    </xf>
    <xf numFmtId="0" fontId="17" fillId="31" borderId="23" xfId="0" applyFont="1" applyFill="1" applyBorder="1" applyAlignment="1">
      <alignment horizontal="center" vertical="center"/>
    </xf>
    <xf numFmtId="0" fontId="17" fillId="31" borderId="24" xfId="0" applyFont="1" applyFill="1" applyBorder="1" applyAlignment="1">
      <alignment horizontal="center" vertical="center"/>
    </xf>
    <xf numFmtId="0" fontId="2" fillId="27" borderId="0" xfId="0" applyFont="1" applyFill="1" applyAlignment="1">
      <alignment horizontal="center"/>
    </xf>
    <xf numFmtId="0" fontId="2" fillId="27" borderId="5" xfId="0" applyFont="1" applyFill="1" applyBorder="1" applyAlignment="1">
      <alignment horizontal="center"/>
    </xf>
    <xf numFmtId="0" fontId="11" fillId="25" borderId="0" xfId="0" applyFont="1" applyFill="1" applyAlignment="1">
      <alignment horizontal="center" vertical="center" wrapText="1"/>
    </xf>
    <xf numFmtId="0" fontId="11" fillId="25" borderId="6" xfId="0" applyFont="1" applyFill="1" applyBorder="1" applyAlignment="1">
      <alignment horizontal="center" vertical="center" wrapText="1"/>
    </xf>
    <xf numFmtId="0" fontId="6" fillId="28" borderId="25" xfId="0" applyFont="1" applyFill="1" applyBorder="1" applyAlignment="1">
      <alignment horizontal="center"/>
    </xf>
    <xf numFmtId="0" fontId="6" fillId="28" borderId="0" xfId="0" applyFont="1" applyFill="1" applyAlignment="1">
      <alignment horizontal="center"/>
    </xf>
    <xf numFmtId="0" fontId="5" fillId="2" borderId="23" xfId="0" applyFont="1" applyFill="1" applyBorder="1" applyAlignment="1">
      <alignment horizontal="center" vertical="center"/>
    </xf>
    <xf numFmtId="0" fontId="5" fillId="2" borderId="24" xfId="0" applyFont="1" applyFill="1" applyBorder="1" applyAlignment="1">
      <alignment horizontal="center" vertical="center"/>
    </xf>
    <xf numFmtId="0" fontId="13" fillId="2" borderId="16" xfId="0" applyFont="1" applyFill="1" applyBorder="1" applyAlignment="1">
      <alignment horizontal="center" vertical="center"/>
    </xf>
    <xf numFmtId="0" fontId="13" fillId="2" borderId="5"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6" borderId="23" xfId="0" applyFont="1" applyFill="1" applyBorder="1" applyAlignment="1">
      <alignment horizontal="center" vertical="center" wrapText="1"/>
    </xf>
    <xf numFmtId="0" fontId="5" fillId="26" borderId="42" xfId="0" applyFont="1" applyFill="1" applyBorder="1" applyAlignment="1">
      <alignment horizontal="center" vertical="center" wrapText="1"/>
    </xf>
    <xf numFmtId="0" fontId="10" fillId="4" borderId="43"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45" xfId="0" applyFont="1" applyFill="1" applyBorder="1" applyAlignment="1">
      <alignment horizontal="center" vertical="center" wrapText="1"/>
    </xf>
    <xf numFmtId="0" fontId="10" fillId="4" borderId="44" xfId="0" applyFont="1" applyFill="1" applyBorder="1" applyAlignment="1">
      <alignment horizontal="center" vertical="center" wrapText="1"/>
    </xf>
    <xf numFmtId="0" fontId="11" fillId="5" borderId="21" xfId="0" applyFont="1" applyFill="1" applyBorder="1" applyAlignment="1">
      <alignment horizontal="center" vertical="center" wrapText="1"/>
    </xf>
    <xf numFmtId="0" fontId="11" fillId="5" borderId="63"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35" fillId="0" borderId="0" xfId="0" applyFont="1" applyAlignment="1">
      <alignment horizontal="center" wrapText="1"/>
    </xf>
    <xf numFmtId="0" fontId="38" fillId="28" borderId="25" xfId="0" applyFont="1" applyFill="1" applyBorder="1" applyAlignment="1">
      <alignment horizontal="center"/>
    </xf>
    <xf numFmtId="0" fontId="38" fillId="28" borderId="0" xfId="0" applyFont="1" applyFill="1" applyAlignment="1">
      <alignment horizontal="center"/>
    </xf>
    <xf numFmtId="0" fontId="0" fillId="50" borderId="0" xfId="0" applyFill="1" applyAlignment="1">
      <alignment horizontal="center" vertical="center"/>
    </xf>
    <xf numFmtId="0" fontId="35" fillId="0" borderId="0" xfId="0" applyFont="1" applyAlignment="1">
      <alignment horizontal="center" vertical="center" wrapText="1"/>
    </xf>
    <xf numFmtId="0" fontId="0" fillId="0" borderId="0" xfId="0" applyAlignment="1">
      <alignment horizontal="center"/>
    </xf>
    <xf numFmtId="0" fontId="13" fillId="5" borderId="21" xfId="0" applyFont="1" applyFill="1" applyBorder="1" applyAlignment="1">
      <alignment horizontal="center" vertical="center" wrapText="1"/>
    </xf>
    <xf numFmtId="0" fontId="13" fillId="5" borderId="22" xfId="0" applyFont="1" applyFill="1" applyBorder="1" applyAlignment="1">
      <alignment horizontal="center" vertical="center" wrapText="1"/>
    </xf>
    <xf numFmtId="0" fontId="13" fillId="6" borderId="21" xfId="0" applyFont="1" applyFill="1" applyBorder="1" applyAlignment="1">
      <alignment horizontal="center" vertical="center" wrapText="1"/>
    </xf>
    <xf numFmtId="0" fontId="13" fillId="6" borderId="63"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3" fillId="7" borderId="21" xfId="0" applyFont="1" applyFill="1" applyBorder="1" applyAlignment="1">
      <alignment horizontal="center" vertical="center" wrapText="1"/>
    </xf>
    <xf numFmtId="0" fontId="13" fillId="7" borderId="63" xfId="0" applyFont="1" applyFill="1" applyBorder="1" applyAlignment="1">
      <alignment horizontal="center" vertical="center" wrapText="1"/>
    </xf>
    <xf numFmtId="0" fontId="13" fillId="7" borderId="22" xfId="0" applyFont="1" applyFill="1" applyBorder="1" applyAlignment="1">
      <alignment horizontal="center" vertical="center" wrapText="1"/>
    </xf>
    <xf numFmtId="0" fontId="13" fillId="8" borderId="21" xfId="0" applyFont="1" applyFill="1" applyBorder="1" applyAlignment="1">
      <alignment horizontal="center" vertical="center" wrapText="1"/>
    </xf>
    <xf numFmtId="0" fontId="13" fillId="8" borderId="63" xfId="0" applyFont="1" applyFill="1" applyBorder="1" applyAlignment="1">
      <alignment horizontal="center" vertical="center" wrapText="1"/>
    </xf>
    <xf numFmtId="0" fontId="13" fillId="8" borderId="22" xfId="0" applyFont="1" applyFill="1" applyBorder="1" applyAlignment="1">
      <alignment horizontal="center" vertical="center" wrapText="1"/>
    </xf>
    <xf numFmtId="0" fontId="13" fillId="9" borderId="21" xfId="0" applyFont="1" applyFill="1" applyBorder="1" applyAlignment="1">
      <alignment horizontal="center" vertical="center" wrapText="1"/>
    </xf>
    <xf numFmtId="0" fontId="13" fillId="9" borderId="63" xfId="0" applyFont="1" applyFill="1" applyBorder="1" applyAlignment="1">
      <alignment horizontal="center" vertical="center" wrapText="1"/>
    </xf>
    <xf numFmtId="0" fontId="13" fillId="9" borderId="22" xfId="0" applyFont="1" applyFill="1" applyBorder="1" applyAlignment="1">
      <alignment horizontal="center" vertical="center" wrapText="1"/>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1" xfId="0" applyFont="1" applyBorder="1" applyAlignment="1">
      <alignment horizontal="center" vertical="center" wrapText="1"/>
    </xf>
    <xf numFmtId="0" fontId="12" fillId="0" borderId="63"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47"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48" xfId="0" applyFont="1" applyBorder="1" applyAlignment="1">
      <alignment horizontal="center" vertical="center" wrapText="1"/>
    </xf>
    <xf numFmtId="0" fontId="12" fillId="0" borderId="21" xfId="0" applyFont="1" applyBorder="1" applyAlignment="1">
      <alignment horizontal="left" vertical="center" wrapText="1"/>
    </xf>
    <xf numFmtId="0" fontId="12" fillId="0" borderId="63" xfId="0" applyFont="1" applyBorder="1" applyAlignment="1">
      <alignment horizontal="left" vertical="center" wrapText="1"/>
    </xf>
    <xf numFmtId="0" fontId="12" fillId="0" borderId="22" xfId="0" applyFont="1" applyBorder="1" applyAlignment="1">
      <alignment horizontal="left" vertical="center" wrapText="1"/>
    </xf>
    <xf numFmtId="0" fontId="48" fillId="0" borderId="21" xfId="0" applyFont="1" applyBorder="1" applyAlignment="1">
      <alignment horizontal="center" vertical="center" wrapText="1"/>
    </xf>
    <xf numFmtId="0" fontId="48" fillId="0" borderId="22" xfId="0" applyFont="1" applyBorder="1" applyAlignment="1">
      <alignment horizontal="center" vertical="center"/>
    </xf>
    <xf numFmtId="0" fontId="48" fillId="0" borderId="37" xfId="0" applyFont="1" applyBorder="1" applyAlignment="1">
      <alignment horizontal="center" vertical="top" wrapText="1"/>
    </xf>
    <xf numFmtId="0" fontId="48" fillId="0" borderId="33" xfId="0" applyFont="1" applyBorder="1" applyAlignment="1">
      <alignment horizontal="center" vertical="top" wrapText="1"/>
    </xf>
    <xf numFmtId="0" fontId="48" fillId="0" borderId="41" xfId="0" applyFont="1" applyBorder="1" applyAlignment="1">
      <alignment horizontal="center" vertical="top" wrapText="1"/>
    </xf>
    <xf numFmtId="0" fontId="48" fillId="0" borderId="62" xfId="0" applyFont="1" applyBorder="1" applyAlignment="1">
      <alignment horizontal="center" vertical="top" wrapText="1"/>
    </xf>
    <xf numFmtId="0" fontId="48" fillId="0" borderId="0" xfId="0" applyFont="1" applyBorder="1" applyAlignment="1">
      <alignment horizontal="center" vertical="top" wrapText="1"/>
    </xf>
    <xf numFmtId="0" fontId="48" fillId="0" borderId="61" xfId="0" applyFont="1" applyBorder="1" applyAlignment="1">
      <alignment horizontal="center" vertical="top" wrapText="1"/>
    </xf>
    <xf numFmtId="0" fontId="48" fillId="0" borderId="47" xfId="0" applyFont="1" applyBorder="1" applyAlignment="1">
      <alignment horizontal="center" vertical="top" wrapText="1"/>
    </xf>
    <xf numFmtId="0" fontId="48" fillId="0" borderId="38" xfId="0" applyFont="1" applyBorder="1" applyAlignment="1">
      <alignment horizontal="center" vertical="top" wrapText="1"/>
    </xf>
    <xf numFmtId="0" fontId="48" fillId="0" borderId="48" xfId="0" applyFont="1" applyBorder="1" applyAlignment="1">
      <alignment horizontal="center" vertical="top" wrapText="1"/>
    </xf>
    <xf numFmtId="0" fontId="13" fillId="25" borderId="0" xfId="0" applyFont="1" applyFill="1" applyAlignment="1">
      <alignment horizontal="center" vertical="center" wrapText="1"/>
    </xf>
    <xf numFmtId="0" fontId="13" fillId="25" borderId="6" xfId="0" applyFont="1" applyFill="1" applyBorder="1" applyAlignment="1">
      <alignment horizontal="center" vertical="center" wrapText="1"/>
    </xf>
    <xf numFmtId="0" fontId="47" fillId="33" borderId="46" xfId="0" applyFont="1" applyFill="1" applyBorder="1" applyAlignment="1">
      <alignment horizontal="center" vertical="center" wrapText="1"/>
    </xf>
    <xf numFmtId="0" fontId="47" fillId="33" borderId="38" xfId="0" applyFont="1" applyFill="1" applyBorder="1" applyAlignment="1">
      <alignment horizontal="center" vertical="center" wrapText="1"/>
    </xf>
    <xf numFmtId="0" fontId="13" fillId="31" borderId="23" xfId="0" applyFont="1" applyFill="1" applyBorder="1" applyAlignment="1">
      <alignment horizontal="center" vertical="center"/>
    </xf>
    <xf numFmtId="0" fontId="13" fillId="31" borderId="24" xfId="0" applyFont="1" applyFill="1" applyBorder="1" applyAlignment="1">
      <alignment horizontal="center" vertical="center"/>
    </xf>
    <xf numFmtId="0" fontId="13" fillId="31" borderId="0" xfId="0" applyFont="1" applyFill="1" applyAlignment="1">
      <alignment horizontal="center" vertical="center"/>
    </xf>
    <xf numFmtId="0" fontId="13" fillId="31" borderId="5" xfId="0" applyFont="1" applyFill="1" applyBorder="1" applyAlignment="1">
      <alignment horizontal="center" vertical="center"/>
    </xf>
    <xf numFmtId="0" fontId="13" fillId="2" borderId="0" xfId="0" applyFont="1" applyFill="1" applyAlignment="1">
      <alignment horizontal="center" vertical="center" wrapText="1"/>
    </xf>
    <xf numFmtId="0" fontId="13" fillId="2" borderId="5" xfId="0" applyFont="1" applyFill="1" applyBorder="1" applyAlignment="1">
      <alignment horizontal="center" vertical="center" wrapText="1"/>
    </xf>
    <xf numFmtId="0" fontId="22" fillId="30" borderId="0" xfId="0" applyFont="1" applyFill="1" applyAlignment="1">
      <alignment horizontal="center"/>
    </xf>
    <xf numFmtId="0" fontId="22" fillId="30" borderId="5" xfId="0" applyFont="1" applyFill="1" applyBorder="1" applyAlignment="1">
      <alignment horizontal="center"/>
    </xf>
    <xf numFmtId="0" fontId="11" fillId="13" borderId="21" xfId="0" applyFont="1" applyFill="1" applyBorder="1" applyAlignment="1">
      <alignment horizontal="center" vertical="center" wrapText="1"/>
    </xf>
    <xf numFmtId="0" fontId="11" fillId="13" borderId="22" xfId="0" applyFont="1" applyFill="1" applyBorder="1" applyAlignment="1">
      <alignment horizontal="center" vertical="center" wrapText="1"/>
    </xf>
    <xf numFmtId="0" fontId="8" fillId="31" borderId="23" xfId="0" applyFont="1" applyFill="1" applyBorder="1" applyAlignment="1">
      <alignment horizontal="center" vertical="center"/>
    </xf>
    <xf numFmtId="0" fontId="8" fillId="31" borderId="24" xfId="0" applyFont="1" applyFill="1" applyBorder="1" applyAlignment="1">
      <alignment horizontal="center" vertical="center"/>
    </xf>
    <xf numFmtId="0" fontId="16" fillId="49" borderId="0" xfId="0" applyFont="1" applyFill="1" applyAlignment="1">
      <alignment horizontal="center" vertical="center" wrapText="1"/>
    </xf>
    <xf numFmtId="0" fontId="8" fillId="19" borderId="0" xfId="0" applyFont="1" applyFill="1" applyAlignment="1">
      <alignment horizontal="center" vertical="center"/>
    </xf>
    <xf numFmtId="0" fontId="8" fillId="19" borderId="5" xfId="0" applyFont="1" applyFill="1" applyBorder="1" applyAlignment="1">
      <alignment horizontal="center" vertical="center"/>
    </xf>
    <xf numFmtId="0" fontId="11" fillId="23" borderId="0" xfId="0" applyFont="1" applyFill="1" applyAlignment="1">
      <alignment horizontal="center" vertical="center"/>
    </xf>
    <xf numFmtId="0" fontId="11" fillId="23" borderId="5" xfId="0" applyFont="1" applyFill="1" applyBorder="1" applyAlignment="1">
      <alignment horizontal="center" vertical="center"/>
    </xf>
    <xf numFmtId="0" fontId="10" fillId="4" borderId="47" xfId="0" applyFont="1" applyFill="1" applyBorder="1" applyAlignment="1">
      <alignment horizontal="center" vertical="center" wrapText="1"/>
    </xf>
    <xf numFmtId="0" fontId="10" fillId="4" borderId="48" xfId="0" applyFont="1" applyFill="1" applyBorder="1" applyAlignment="1">
      <alignment horizontal="center" vertical="center" wrapText="1"/>
    </xf>
    <xf numFmtId="0" fontId="13" fillId="5" borderId="62" xfId="0" applyFont="1" applyFill="1" applyBorder="1" applyAlignment="1">
      <alignment horizontal="center" vertical="center" wrapText="1"/>
    </xf>
    <xf numFmtId="0" fontId="13" fillId="5" borderId="0" xfId="0" applyFont="1" applyFill="1" applyBorder="1" applyAlignment="1">
      <alignment horizontal="center" vertical="center" wrapText="1"/>
    </xf>
    <xf numFmtId="0" fontId="35" fillId="0" borderId="0" xfId="0" applyFont="1" applyBorder="1" applyAlignment="1">
      <alignment horizontal="center" vertical="center" wrapText="1"/>
    </xf>
    <xf numFmtId="0" fontId="11" fillId="10" borderId="21" xfId="0" applyFont="1" applyFill="1" applyBorder="1" applyAlignment="1">
      <alignment horizontal="center" vertical="center" wrapText="1"/>
    </xf>
    <xf numFmtId="0" fontId="11" fillId="10" borderId="22" xfId="0" applyFont="1" applyFill="1" applyBorder="1" applyAlignment="1">
      <alignment horizontal="center" vertical="center" wrapText="1"/>
    </xf>
    <xf numFmtId="9" fontId="2" fillId="34" borderId="37" xfId="0" applyNumberFormat="1" applyFont="1" applyFill="1" applyBorder="1" applyAlignment="1">
      <alignment horizontal="center"/>
    </xf>
    <xf numFmtId="9" fontId="2" fillId="34" borderId="33" xfId="0" applyNumberFormat="1" applyFont="1" applyFill="1" applyBorder="1" applyAlignment="1">
      <alignment horizontal="center"/>
    </xf>
    <xf numFmtId="0" fontId="13" fillId="2" borderId="0" xfId="0" applyFont="1" applyFill="1" applyAlignment="1">
      <alignment horizontal="center" vertical="center"/>
    </xf>
    <xf numFmtId="0" fontId="10" fillId="4" borderId="37" xfId="0" applyFont="1" applyFill="1" applyBorder="1" applyAlignment="1">
      <alignment horizontal="center" vertical="center" wrapText="1"/>
    </xf>
    <xf numFmtId="0" fontId="10" fillId="4" borderId="49" xfId="0" applyFont="1" applyFill="1" applyBorder="1" applyAlignment="1">
      <alignment horizontal="center" vertical="center" wrapText="1"/>
    </xf>
    <xf numFmtId="0" fontId="11" fillId="5" borderId="0" xfId="0" applyFont="1" applyFill="1" applyAlignment="1">
      <alignment horizontal="center" vertical="center" wrapText="1"/>
    </xf>
    <xf numFmtId="0" fontId="11" fillId="5" borderId="6" xfId="0" applyFont="1" applyFill="1" applyBorder="1" applyAlignment="1">
      <alignment horizontal="center" vertical="center" wrapText="1"/>
    </xf>
    <xf numFmtId="0" fontId="6" fillId="0" borderId="25" xfId="0" applyFont="1" applyBorder="1" applyAlignment="1">
      <alignment horizontal="center"/>
    </xf>
    <xf numFmtId="0" fontId="6" fillId="0" borderId="0" xfId="0" applyFont="1" applyAlignment="1">
      <alignment horizontal="center"/>
    </xf>
    <xf numFmtId="0" fontId="24" fillId="26" borderId="0" xfId="0" applyFont="1" applyFill="1" applyAlignment="1">
      <alignment horizontal="center" vertical="center" wrapText="1"/>
    </xf>
    <xf numFmtId="0" fontId="24" fillId="26" borderId="5" xfId="0" applyFont="1" applyFill="1" applyBorder="1" applyAlignment="1">
      <alignment horizontal="center" vertical="center" wrapText="1"/>
    </xf>
    <xf numFmtId="0" fontId="11" fillId="36" borderId="0" xfId="0" applyFont="1" applyFill="1" applyAlignment="1">
      <alignment horizontal="center" vertical="center" wrapText="1"/>
    </xf>
    <xf numFmtId="0" fontId="11" fillId="36" borderId="6" xfId="0" applyFont="1" applyFill="1" applyBorder="1" applyAlignment="1">
      <alignment horizontal="center" vertical="center" wrapText="1"/>
    </xf>
    <xf numFmtId="0" fontId="8" fillId="26" borderId="23" xfId="0" applyFont="1" applyFill="1" applyBorder="1" applyAlignment="1">
      <alignment horizontal="center" vertical="center"/>
    </xf>
    <xf numFmtId="0" fontId="8" fillId="26" borderId="24" xfId="0" applyFont="1" applyFill="1" applyBorder="1" applyAlignment="1">
      <alignment horizontal="center" vertical="center"/>
    </xf>
    <xf numFmtId="0" fontId="5" fillId="26" borderId="0" xfId="0" applyFont="1" applyFill="1" applyAlignment="1">
      <alignment horizontal="center" vertical="center" wrapText="1"/>
    </xf>
    <xf numFmtId="0" fontId="5" fillId="26" borderId="5" xfId="0" applyFont="1" applyFill="1" applyBorder="1" applyAlignment="1">
      <alignment horizontal="center" vertical="center" wrapText="1"/>
    </xf>
    <xf numFmtId="0" fontId="13" fillId="19" borderId="0" xfId="0" applyFont="1" applyFill="1" applyAlignment="1">
      <alignment horizontal="center" vertical="center"/>
    </xf>
    <xf numFmtId="0" fontId="13" fillId="19" borderId="5" xfId="0" applyFont="1" applyFill="1" applyBorder="1" applyAlignment="1">
      <alignment horizontal="center" vertical="center"/>
    </xf>
    <xf numFmtId="0" fontId="6" fillId="14" borderId="46" xfId="0" applyFont="1" applyFill="1" applyBorder="1" applyAlignment="1">
      <alignment horizontal="center"/>
    </xf>
    <xf numFmtId="0" fontId="6" fillId="14" borderId="38" xfId="0" applyFont="1" applyFill="1" applyBorder="1" applyAlignment="1">
      <alignment horizontal="center"/>
    </xf>
    <xf numFmtId="0" fontId="10" fillId="4" borderId="20" xfId="0" applyFont="1" applyFill="1" applyBorder="1" applyAlignment="1">
      <alignment horizontal="center" vertical="center" wrapText="1"/>
    </xf>
    <xf numFmtId="0" fontId="11" fillId="38" borderId="21" xfId="0" applyFont="1" applyFill="1" applyBorder="1" applyAlignment="1">
      <alignment horizontal="center" vertical="center" wrapText="1"/>
    </xf>
    <xf numFmtId="0" fontId="11" fillId="38" borderId="22" xfId="0" applyFont="1" applyFill="1" applyBorder="1" applyAlignment="1">
      <alignment horizontal="center" vertical="center" wrapText="1"/>
    </xf>
    <xf numFmtId="0" fontId="6" fillId="39" borderId="0" xfId="0" applyFont="1" applyFill="1" applyAlignment="1">
      <alignment horizontal="center"/>
    </xf>
    <xf numFmtId="0" fontId="13" fillId="37" borderId="0" xfId="0" applyFont="1" applyFill="1" applyAlignment="1">
      <alignment horizontal="center" vertical="center"/>
    </xf>
    <xf numFmtId="0" fontId="13" fillId="37" borderId="5" xfId="0" applyFont="1" applyFill="1" applyBorder="1" applyAlignment="1">
      <alignment horizontal="center" vertical="center"/>
    </xf>
    <xf numFmtId="0" fontId="13" fillId="26" borderId="0" xfId="0" applyFont="1" applyFill="1" applyAlignment="1">
      <alignment horizontal="center" vertical="center"/>
    </xf>
    <xf numFmtId="0" fontId="13" fillId="26" borderId="5" xfId="0" applyFont="1" applyFill="1" applyBorder="1" applyAlignment="1">
      <alignment horizontal="center" vertical="center"/>
    </xf>
    <xf numFmtId="0" fontId="5" fillId="31" borderId="23" xfId="0" applyFont="1" applyFill="1" applyBorder="1" applyAlignment="1">
      <alignment horizontal="center" vertical="center"/>
    </xf>
    <xf numFmtId="0" fontId="5" fillId="31" borderId="24" xfId="0" applyFont="1" applyFill="1" applyBorder="1" applyAlignment="1">
      <alignment horizontal="center" vertical="center"/>
    </xf>
    <xf numFmtId="0" fontId="21" fillId="4" borderId="20" xfId="0" applyFont="1" applyFill="1" applyBorder="1" applyAlignment="1">
      <alignment horizontal="center" vertical="center" wrapText="1"/>
    </xf>
    <xf numFmtId="0" fontId="13" fillId="19" borderId="20" xfId="0" applyFont="1" applyFill="1" applyBorder="1" applyAlignment="1">
      <alignment horizontal="center" vertical="center"/>
    </xf>
    <xf numFmtId="0" fontId="21" fillId="33" borderId="20" xfId="0" applyFont="1" applyFill="1" applyBorder="1" applyAlignment="1">
      <alignment horizontal="center" vertical="center" wrapText="1"/>
    </xf>
    <xf numFmtId="0" fontId="13" fillId="2" borderId="37" xfId="0" applyFont="1" applyFill="1" applyBorder="1" applyAlignment="1">
      <alignment horizontal="center" vertical="center" wrapText="1"/>
    </xf>
    <xf numFmtId="0" fontId="13" fillId="2" borderId="41" xfId="0" applyFont="1" applyFill="1" applyBorder="1" applyAlignment="1">
      <alignment horizontal="center" vertical="center" wrapText="1"/>
    </xf>
    <xf numFmtId="0" fontId="13" fillId="2" borderId="47" xfId="0" applyFont="1" applyFill="1" applyBorder="1" applyAlignment="1">
      <alignment horizontal="center" vertical="center" wrapText="1"/>
    </xf>
    <xf numFmtId="0" fontId="13" fillId="2" borderId="48" xfId="0" applyFont="1" applyFill="1" applyBorder="1" applyAlignment="1">
      <alignment horizontal="center" vertical="center" wrapText="1"/>
    </xf>
    <xf numFmtId="0" fontId="13" fillId="32" borderId="20" xfId="0" applyFont="1" applyFill="1" applyBorder="1" applyAlignment="1">
      <alignment horizontal="center" vertical="center"/>
    </xf>
    <xf numFmtId="0" fontId="13" fillId="10" borderId="20" xfId="0" applyFont="1" applyFill="1" applyBorder="1" applyAlignment="1">
      <alignment horizontal="center" vertical="center" wrapText="1"/>
    </xf>
    <xf numFmtId="0" fontId="50" fillId="0" borderId="67" xfId="0" applyFont="1" applyFill="1" applyBorder="1" applyAlignment="1"/>
    <xf numFmtId="0" fontId="50" fillId="0" borderId="60" xfId="0" applyFont="1" applyFill="1" applyBorder="1" applyAlignment="1"/>
    <xf numFmtId="0" fontId="50" fillId="51" borderId="67" xfId="0" applyFont="1" applyFill="1" applyBorder="1" applyAlignment="1"/>
    <xf numFmtId="0" fontId="50" fillId="51" borderId="60" xfId="0" applyFont="1" applyFill="1" applyBorder="1" applyAlignment="1"/>
    <xf numFmtId="0" fontId="52" fillId="52" borderId="67" xfId="0" applyFont="1" applyFill="1" applyBorder="1" applyAlignment="1"/>
    <xf numFmtId="0" fontId="52" fillId="52" borderId="66" xfId="0" applyFont="1" applyFill="1" applyBorder="1" applyAlignment="1"/>
    <xf numFmtId="0" fontId="52" fillId="51" borderId="67" xfId="0" applyFont="1" applyFill="1" applyBorder="1" applyAlignment="1"/>
    <xf numFmtId="0" fontId="52" fillId="51" borderId="66" xfId="0" applyFont="1" applyFill="1" applyBorder="1" applyAlignment="1"/>
    <xf numFmtId="0" fontId="50" fillId="53" borderId="6" xfId="0" applyFont="1" applyFill="1" applyBorder="1" applyAlignment="1"/>
    <xf numFmtId="0" fontId="50" fillId="53" borderId="65" xfId="0" applyFont="1" applyFill="1" applyBorder="1" applyAlignment="1"/>
    <xf numFmtId="0" fontId="50" fillId="54" borderId="67" xfId="0" applyFont="1" applyFill="1" applyBorder="1" applyAlignment="1"/>
    <xf numFmtId="0" fontId="50" fillId="54" borderId="60" xfId="0" applyFont="1" applyFill="1" applyBorder="1" applyAlignment="1"/>
    <xf numFmtId="0" fontId="50" fillId="0" borderId="66" xfId="0" applyFont="1" applyFill="1" applyBorder="1" applyAlignment="1"/>
    <xf numFmtId="0" fontId="5" fillId="2" borderId="41" xfId="0" applyFont="1" applyFill="1" applyBorder="1" applyAlignment="1">
      <alignment horizontal="center" vertical="center" wrapText="1"/>
    </xf>
    <xf numFmtId="0" fontId="5" fillId="2" borderId="47" xfId="0" applyFont="1" applyFill="1" applyBorder="1" applyAlignment="1">
      <alignment horizontal="center" vertical="center" wrapText="1"/>
    </xf>
    <xf numFmtId="0" fontId="5" fillId="2" borderId="48" xfId="0" applyFont="1" applyFill="1" applyBorder="1" applyAlignment="1">
      <alignment horizontal="center" vertical="center" wrapText="1"/>
    </xf>
    <xf numFmtId="0" fontId="5" fillId="31" borderId="20" xfId="0" applyFont="1" applyFill="1" applyBorder="1" applyAlignment="1">
      <alignment horizontal="center" vertical="center"/>
    </xf>
    <xf numFmtId="0" fontId="9" fillId="3" borderId="20" xfId="0" applyFont="1" applyFill="1" applyBorder="1" applyAlignment="1">
      <alignment horizontal="center" vertical="center"/>
    </xf>
    <xf numFmtId="0" fontId="11" fillId="25" borderId="20" xfId="0" applyFont="1" applyFill="1" applyBorder="1" applyAlignment="1">
      <alignment horizontal="center" vertical="center" wrapText="1"/>
    </xf>
    <xf numFmtId="9" fontId="38" fillId="28" borderId="20" xfId="0" applyNumberFormat="1" applyFont="1" applyFill="1" applyBorder="1" applyAlignment="1">
      <alignment horizontal="center"/>
    </xf>
    <xf numFmtId="0" fontId="38" fillId="28" borderId="20" xfId="0" applyFont="1" applyFill="1" applyBorder="1" applyAlignment="1">
      <alignment horizontal="center"/>
    </xf>
    <xf numFmtId="0" fontId="50" fillId="4" borderId="58" xfId="0" applyFont="1" applyFill="1" applyBorder="1" applyAlignment="1"/>
    <xf numFmtId="0" fontId="50" fillId="4" borderId="65" xfId="0" applyFont="1" applyFill="1" applyBorder="1" applyAlignment="1"/>
    <xf numFmtId="0" fontId="52" fillId="51" borderId="6" xfId="0" applyFont="1" applyFill="1" applyBorder="1" applyAlignment="1"/>
    <xf numFmtId="0" fontId="52" fillId="51" borderId="65" xfId="0" applyFont="1" applyFill="1" applyBorder="1" applyAlignment="1"/>
    <xf numFmtId="0" fontId="5" fillId="2" borderId="20" xfId="0" applyFont="1" applyFill="1" applyBorder="1" applyAlignment="1">
      <alignment horizontal="center" vertical="center"/>
    </xf>
    <xf numFmtId="0" fontId="6" fillId="28" borderId="20" xfId="0" applyFont="1" applyFill="1" applyBorder="1" applyAlignment="1">
      <alignment horizontal="center"/>
    </xf>
    <xf numFmtId="0" fontId="13" fillId="21" borderId="20" xfId="0" applyFont="1" applyFill="1" applyBorder="1" applyAlignment="1">
      <alignment horizontal="center" vertical="center"/>
    </xf>
    <xf numFmtId="0" fontId="11" fillId="10" borderId="20" xfId="0" applyFont="1" applyFill="1" applyBorder="1" applyAlignment="1">
      <alignment horizontal="center" vertical="center" wrapText="1"/>
    </xf>
    <xf numFmtId="0" fontId="0" fillId="40" borderId="20" xfId="0" applyFill="1" applyBorder="1" applyAlignment="1">
      <alignment horizontal="center"/>
    </xf>
    <xf numFmtId="0" fontId="0" fillId="0" borderId="57" xfId="0" applyBorder="1" applyAlignment="1">
      <alignment horizontal="center"/>
    </xf>
    <xf numFmtId="9" fontId="6" fillId="28" borderId="20" xfId="0" applyNumberFormat="1" applyFont="1" applyFill="1" applyBorder="1" applyAlignment="1">
      <alignment horizontal="center"/>
    </xf>
  </cellXfs>
  <cellStyles count="3">
    <cellStyle name="Normal" xfId="0" builtinId="0"/>
    <cellStyle name="Porcentagem" xfId="2" builtinId="5"/>
    <cellStyle name="Vírgula" xfId="1" builtinId="3"/>
  </cellStyles>
  <dxfs count="8">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medium">
          <color theme="0"/>
        </left>
        <right/>
        <top style="medium">
          <color theme="0"/>
        </top>
        <bottom style="medium">
          <color theme="0"/>
        </bottom>
      </border>
    </dxf>
    <dxf>
      <font>
        <strike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medium">
          <color theme="0"/>
        </left>
        <right style="medium">
          <color theme="0"/>
        </right>
        <top style="medium">
          <color theme="0"/>
        </top>
        <bottom style="medium">
          <color theme="0"/>
        </bottom>
      </border>
    </dxf>
    <dxf>
      <font>
        <b val="0"/>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border diagonalUp="0" diagonalDown="0" outline="0">
        <left/>
        <right style="medium">
          <color theme="0"/>
        </right>
        <top style="medium">
          <color theme="0"/>
        </top>
        <bottom style="medium">
          <color theme="0"/>
        </bottom>
      </border>
    </dxf>
    <dxf>
      <border>
        <top style="medium">
          <color theme="0"/>
        </top>
      </border>
    </dxf>
    <dxf>
      <border>
        <bottom style="medium">
          <color theme="0"/>
        </bottom>
      </border>
    </dxf>
    <dxf>
      <border diagonalUp="0" diagonalDown="0">
        <left style="medium">
          <color theme="0"/>
        </left>
        <right style="medium">
          <color theme="0"/>
        </right>
        <top style="medium">
          <color theme="0"/>
        </top>
        <bottom style="medium">
          <color theme="0"/>
        </bottom>
      </border>
    </dxf>
    <dxf>
      <font>
        <strike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medium">
          <color theme="0"/>
        </left>
        <right style="medium">
          <color theme="0"/>
        </right>
        <top/>
        <bottom/>
      </border>
    </dxf>
  </dxfs>
  <tableStyles count="0" defaultTableStyle="TableStyleMedium2" defaultPivotStyle="PivotStyleLight16"/>
  <colors>
    <mruColors>
      <color rgb="FFF4F785"/>
      <color rgb="FFF5FC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Iara Grasel" id="{958B1BA8-76FC-4C73-89EB-6D13A9163E59}" userId="124d3c2c2c7c4d7c"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777DB4-CA93-4D1F-BC1F-48B779BAAB9D}" name="Tabela4" displayName="Tabela4" ref="A1:C18" totalsRowShown="0" headerRowDxfId="7" dataDxfId="6" headerRowBorderDxfId="4" tableBorderDxfId="5" totalsRowBorderDxfId="3">
  <tableColumns count="3">
    <tableColumn id="1" xr3:uid="{B010CBBD-0F23-4EB0-813E-C8B83D4383E0}" name="Indicador" dataDxfId="2"/>
    <tableColumn id="2" xr3:uid="{121E500E-6132-473B-9058-1BA2ECBA5619}" name="Meta recomendada" dataDxfId="1"/>
    <tableColumn id="3" xr3:uid="{035351C9-9720-4E25-B1B5-56CB0660C6EA}" name="Fundamentação / Referência principal" dataDxfId="0"/>
  </tableColumns>
  <tableStyleInfo name="TableStyleMedium3"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5" dT="2025-11-05T00:07:06.48" personId="{958B1BA8-76FC-4C73-89EB-6D13A9163E59}" id="{C164CEC1-BA48-4C5B-9481-61926DDAB557}">
    <text xml:space="preserve">Cirurgia Segura
Via Aérea Difícil 
Antibioticoprofilaxia Cirúrgica 
Controle Glicêmico no Paciente Cirúrgico 
Prevenção de Hipotermia 
Manejo de Intoxicação por Anestésicos Locais 
Hipertermia Maligna 
Alergia ao Látex 
Prevenção de Eventos Hemorrágicos 
Prevenção de Tromboembolismo Venoso (TEV) 
Transferência Intra-hospitalar Segura </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5-11-05T00:07:06.48" personId="{958B1BA8-76FC-4C73-89EB-6D13A9163E59}" id="{04818F64-B9D2-408F-ABFB-13F7221A968C}">
    <text xml:space="preserve">Manejo da Dor Aguda no Pós-operatório 
Abreviação de Jejum 
Prevenção de Náuseas e Vômitos no Pós-operatório (PONV) 
Manejo de Cefaleia Pós-raqui </text>
  </threadedComment>
</ThreadedComment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C11C-3B35-473F-9318-BC3E14E4E588}">
  <sheetPr>
    <tabColor theme="3"/>
  </sheetPr>
  <dimension ref="A1:O21"/>
  <sheetViews>
    <sheetView zoomScale="70" zoomScaleNormal="70" workbookViewId="0">
      <selection activeCell="C4" sqref="C4"/>
    </sheetView>
  </sheetViews>
  <sheetFormatPr defaultRowHeight="15"/>
  <cols>
    <col min="1" max="1" width="19.7109375" customWidth="1"/>
    <col min="2" max="2" width="76.42578125" customWidth="1"/>
    <col min="3" max="14" width="11.140625" customWidth="1"/>
    <col min="15" max="15" width="20.140625" customWidth="1"/>
  </cols>
  <sheetData>
    <row r="1" spans="1:15" ht="15.75" thickBot="1">
      <c r="A1" s="196" t="s">
        <v>0</v>
      </c>
      <c r="B1" s="197"/>
      <c r="C1" s="187">
        <v>2025</v>
      </c>
      <c r="D1" s="188"/>
      <c r="E1" s="188"/>
      <c r="F1" s="188"/>
      <c r="G1" s="188"/>
      <c r="H1" s="188"/>
      <c r="I1" s="188"/>
      <c r="J1" s="188"/>
      <c r="K1" s="188"/>
      <c r="L1" s="188"/>
      <c r="M1" s="188"/>
      <c r="N1" s="188"/>
      <c r="O1" s="188"/>
    </row>
    <row r="2" spans="1:15" ht="39" customHeight="1" thickTop="1" thickBot="1">
      <c r="A2" s="194" t="s">
        <v>1</v>
      </c>
      <c r="B2" s="195"/>
      <c r="C2" s="17">
        <f>C4/C5</f>
        <v>0.79517190929041692</v>
      </c>
      <c r="D2" s="17">
        <f t="shared" ref="D2:K2" si="0">D4/D5</f>
        <v>0.79330007127583746</v>
      </c>
      <c r="E2" s="17">
        <f t="shared" si="0"/>
        <v>0.75690235690235685</v>
      </c>
      <c r="F2" s="17">
        <f t="shared" si="0"/>
        <v>0.84649122807017541</v>
      </c>
      <c r="G2" s="17">
        <f t="shared" si="0"/>
        <v>0.85654512851165576</v>
      </c>
      <c r="H2" s="17">
        <f t="shared" si="0"/>
        <v>0.96018276762402088</v>
      </c>
      <c r="I2" s="17">
        <f t="shared" si="0"/>
        <v>0.95281995661605201</v>
      </c>
      <c r="J2" s="17">
        <f t="shared" si="0"/>
        <v>0.97834757834757835</v>
      </c>
      <c r="K2" s="17">
        <f t="shared" si="0"/>
        <v>0.97022198159177042</v>
      </c>
      <c r="L2" s="2"/>
      <c r="M2" s="2"/>
      <c r="N2" s="2"/>
      <c r="O2" s="16">
        <f>MEDIAN(C2:N2)</f>
        <v>0.85654512851165576</v>
      </c>
    </row>
    <row r="3" spans="1:15">
      <c r="A3" s="196" t="s">
        <v>2</v>
      </c>
      <c r="B3" s="197"/>
      <c r="C3" s="4" t="s">
        <v>3</v>
      </c>
      <c r="D3" s="4" t="s">
        <v>4</v>
      </c>
      <c r="E3" s="4" t="s">
        <v>5</v>
      </c>
      <c r="F3" s="4" t="s">
        <v>6</v>
      </c>
      <c r="G3" s="4" t="s">
        <v>7</v>
      </c>
      <c r="H3" s="4" t="s">
        <v>8</v>
      </c>
      <c r="I3" s="4" t="s">
        <v>9</v>
      </c>
      <c r="J3" s="4" t="s">
        <v>10</v>
      </c>
      <c r="K3" s="4" t="s">
        <v>11</v>
      </c>
      <c r="L3" s="4" t="s">
        <v>12</v>
      </c>
      <c r="M3" s="4" t="s">
        <v>13</v>
      </c>
      <c r="N3" s="4" t="s">
        <v>14</v>
      </c>
      <c r="O3" s="14" t="s">
        <v>15</v>
      </c>
    </row>
    <row r="4" spans="1:15" ht="24.75" customHeight="1">
      <c r="A4" s="198" t="s">
        <v>16</v>
      </c>
      <c r="B4" s="199"/>
      <c r="C4" s="12">
        <v>1087</v>
      </c>
      <c r="D4" s="12">
        <v>1113</v>
      </c>
      <c r="E4" s="12">
        <v>1124</v>
      </c>
      <c r="F4" s="12">
        <v>1351</v>
      </c>
      <c r="G4" s="12">
        <v>1433</v>
      </c>
      <c r="H4" s="12">
        <v>1471</v>
      </c>
      <c r="I4" s="12">
        <v>1757</v>
      </c>
      <c r="J4" s="12">
        <v>1717</v>
      </c>
      <c r="K4" s="12">
        <v>1792</v>
      </c>
      <c r="L4" s="12">
        <v>0</v>
      </c>
      <c r="M4" s="12">
        <v>0</v>
      </c>
      <c r="N4" s="12">
        <v>0</v>
      </c>
      <c r="O4" s="15">
        <f>MEDIAN(C4:N4)</f>
        <v>1237.5</v>
      </c>
    </row>
    <row r="5" spans="1:15" ht="26.25" customHeight="1">
      <c r="A5" s="200" t="s">
        <v>17</v>
      </c>
      <c r="B5" s="201"/>
      <c r="C5" s="10">
        <v>1367</v>
      </c>
      <c r="D5" s="11">
        <v>1403</v>
      </c>
      <c r="E5" s="11">
        <v>1485</v>
      </c>
      <c r="F5" s="11">
        <v>1596</v>
      </c>
      <c r="G5" s="11">
        <v>1673</v>
      </c>
      <c r="H5" s="11">
        <v>1532</v>
      </c>
      <c r="I5" s="11">
        <v>1844</v>
      </c>
      <c r="J5" s="11">
        <v>1755</v>
      </c>
      <c r="K5" s="11">
        <v>1847</v>
      </c>
      <c r="L5" s="11">
        <v>0</v>
      </c>
      <c r="M5" s="11">
        <v>0</v>
      </c>
      <c r="N5" s="13">
        <v>0</v>
      </c>
      <c r="O5" s="15">
        <f>MEDIAN(C5:N5)</f>
        <v>1508.5</v>
      </c>
    </row>
    <row r="6" spans="1:15">
      <c r="A6" s="202" t="s">
        <v>18</v>
      </c>
      <c r="B6" s="203"/>
      <c r="C6" s="189" t="s">
        <v>19</v>
      </c>
      <c r="D6" s="190"/>
      <c r="E6" s="190"/>
      <c r="F6" s="190"/>
      <c r="G6" s="190"/>
      <c r="H6" s="190"/>
      <c r="I6" s="190"/>
      <c r="J6" s="190"/>
      <c r="K6" s="190"/>
      <c r="L6" s="190"/>
      <c r="M6" s="190"/>
      <c r="N6" s="190"/>
      <c r="O6" s="190"/>
    </row>
    <row r="7" spans="1:15" ht="48" customHeight="1" thickBot="1">
      <c r="A7" s="170" t="s">
        <v>2</v>
      </c>
      <c r="B7" s="204" t="s">
        <v>20</v>
      </c>
      <c r="C7" s="204"/>
      <c r="D7" s="192" t="s">
        <v>21</v>
      </c>
      <c r="E7" s="192"/>
      <c r="F7" s="192"/>
      <c r="G7" s="193" t="s">
        <v>22</v>
      </c>
      <c r="H7" s="193"/>
      <c r="I7" s="193"/>
      <c r="J7" s="205" t="s">
        <v>23</v>
      </c>
      <c r="K7" s="205"/>
      <c r="L7" s="205"/>
      <c r="M7" s="191" t="s">
        <v>24</v>
      </c>
      <c r="N7" s="191"/>
      <c r="O7" s="191"/>
    </row>
    <row r="8" spans="1:15" ht="114.75" customHeight="1" thickBot="1">
      <c r="A8" s="186" t="s">
        <v>25</v>
      </c>
      <c r="B8" s="186" t="s">
        <v>26</v>
      </c>
      <c r="C8" s="186"/>
      <c r="D8" s="186" t="s">
        <v>27</v>
      </c>
      <c r="E8" s="186"/>
      <c r="F8" s="186"/>
      <c r="G8" s="186" t="s">
        <v>28</v>
      </c>
      <c r="H8" s="186"/>
      <c r="I8" s="186"/>
      <c r="J8" s="186" t="s">
        <v>29</v>
      </c>
      <c r="K8" s="186"/>
      <c r="L8" s="186"/>
      <c r="M8" s="186" t="s">
        <v>30</v>
      </c>
      <c r="N8" s="186"/>
      <c r="O8" s="186"/>
    </row>
    <row r="9" spans="1:15" ht="44.25" customHeight="1" thickBot="1">
      <c r="A9" s="186"/>
      <c r="B9" s="186"/>
      <c r="C9" s="186"/>
      <c r="D9" s="186"/>
      <c r="E9" s="186"/>
      <c r="F9" s="186"/>
      <c r="G9" s="186"/>
      <c r="H9" s="186"/>
      <c r="I9" s="186"/>
      <c r="J9" s="186"/>
      <c r="K9" s="186"/>
      <c r="L9" s="186"/>
      <c r="M9" s="186"/>
      <c r="N9" s="186"/>
      <c r="O9" s="186"/>
    </row>
    <row r="10" spans="1:15" ht="57" customHeight="1" thickBot="1">
      <c r="A10" s="186"/>
      <c r="B10" s="186"/>
      <c r="C10" s="186"/>
      <c r="D10" s="186"/>
      <c r="E10" s="186"/>
      <c r="F10" s="186"/>
      <c r="G10" s="186"/>
      <c r="H10" s="186"/>
      <c r="I10" s="186"/>
      <c r="J10" s="186"/>
      <c r="K10" s="186"/>
      <c r="L10" s="186"/>
      <c r="M10" s="186"/>
      <c r="N10" s="186"/>
      <c r="O10" s="186"/>
    </row>
    <row r="11" spans="1:15" ht="147" customHeight="1" thickBot="1">
      <c r="A11" s="185" t="s">
        <v>31</v>
      </c>
      <c r="B11" s="186" t="s">
        <v>32</v>
      </c>
      <c r="C11" s="186"/>
      <c r="D11" s="186" t="s">
        <v>33</v>
      </c>
      <c r="E11" s="186"/>
      <c r="F11" s="186"/>
      <c r="G11" s="186" t="s">
        <v>34</v>
      </c>
      <c r="H11" s="186"/>
      <c r="I11" s="186"/>
      <c r="J11" s="186" t="s">
        <v>35</v>
      </c>
      <c r="K11" s="186"/>
      <c r="L11" s="186"/>
      <c r="M11" s="186" t="s">
        <v>36</v>
      </c>
      <c r="N11" s="186"/>
      <c r="O11" s="186"/>
    </row>
    <row r="12" spans="1:15" ht="15.75" thickBot="1">
      <c r="A12" s="185"/>
      <c r="B12" s="186"/>
      <c r="C12" s="186"/>
      <c r="D12" s="186"/>
      <c r="E12" s="186"/>
      <c r="F12" s="186"/>
      <c r="G12" s="186"/>
      <c r="H12" s="186"/>
      <c r="I12" s="186"/>
      <c r="J12" s="186"/>
      <c r="K12" s="186"/>
      <c r="L12" s="186"/>
      <c r="M12" s="186"/>
      <c r="N12" s="186"/>
      <c r="O12" s="186"/>
    </row>
    <row r="13" spans="1:15" ht="15.75" thickBot="1">
      <c r="A13" s="185"/>
      <c r="B13" s="186"/>
      <c r="C13" s="186"/>
      <c r="D13" s="186"/>
      <c r="E13" s="186"/>
      <c r="F13" s="186"/>
      <c r="G13" s="186"/>
      <c r="H13" s="186"/>
      <c r="I13" s="186"/>
      <c r="J13" s="186"/>
      <c r="K13" s="186"/>
      <c r="L13" s="186"/>
      <c r="M13" s="186"/>
      <c r="N13" s="186"/>
      <c r="O13" s="186"/>
    </row>
    <row r="14" spans="1:15" ht="36" customHeight="1" thickBot="1">
      <c r="A14" s="169" t="s">
        <v>2</v>
      </c>
      <c r="B14" s="178" t="s">
        <v>20</v>
      </c>
      <c r="C14" s="178"/>
      <c r="D14" s="179" t="s">
        <v>21</v>
      </c>
      <c r="E14" s="179"/>
      <c r="F14" s="179"/>
      <c r="G14" s="180" t="s">
        <v>22</v>
      </c>
      <c r="H14" s="180"/>
      <c r="I14" s="180"/>
      <c r="J14" s="181" t="s">
        <v>23</v>
      </c>
      <c r="K14" s="181"/>
      <c r="L14" s="181"/>
      <c r="M14" s="182" t="s">
        <v>24</v>
      </c>
      <c r="N14" s="182"/>
      <c r="O14" s="182"/>
    </row>
    <row r="15" spans="1:15" ht="288.75" customHeight="1" thickBot="1">
      <c r="A15" s="50" t="s">
        <v>37</v>
      </c>
      <c r="B15" s="186" t="s">
        <v>38</v>
      </c>
      <c r="C15" s="186"/>
      <c r="D15" s="186" t="s">
        <v>39</v>
      </c>
      <c r="E15" s="186"/>
      <c r="F15" s="186"/>
      <c r="G15" s="186" t="s">
        <v>40</v>
      </c>
      <c r="H15" s="186"/>
      <c r="I15" s="186"/>
      <c r="J15" s="186" t="s">
        <v>41</v>
      </c>
      <c r="K15" s="186"/>
      <c r="L15" s="186"/>
      <c r="M15" s="186" t="s">
        <v>42</v>
      </c>
      <c r="N15" s="186"/>
      <c r="O15" s="186"/>
    </row>
    <row r="16" spans="1:15" ht="258.75" customHeight="1" thickBot="1">
      <c r="A16" s="174" t="s">
        <v>43</v>
      </c>
      <c r="B16" s="185" t="s">
        <v>44</v>
      </c>
      <c r="C16" s="185"/>
      <c r="D16" s="186" t="s">
        <v>45</v>
      </c>
      <c r="E16" s="186"/>
      <c r="F16" s="186"/>
      <c r="G16" s="186" t="s">
        <v>46</v>
      </c>
      <c r="H16" s="186"/>
      <c r="I16" s="186"/>
      <c r="J16" s="186" t="s">
        <v>47</v>
      </c>
      <c r="K16" s="186"/>
      <c r="L16" s="186"/>
      <c r="M16" s="186" t="s">
        <v>48</v>
      </c>
      <c r="N16" s="186"/>
      <c r="O16" s="186"/>
    </row>
    <row r="17" spans="1:15" ht="238.5" customHeight="1" thickBot="1">
      <c r="A17" s="174" t="s">
        <v>49</v>
      </c>
      <c r="B17" s="185" t="s">
        <v>50</v>
      </c>
      <c r="C17" s="185"/>
      <c r="D17" s="186" t="s">
        <v>51</v>
      </c>
      <c r="E17" s="186"/>
      <c r="F17" s="186"/>
      <c r="G17" s="186" t="s">
        <v>52</v>
      </c>
      <c r="H17" s="186"/>
      <c r="I17" s="186"/>
      <c r="J17" s="186" t="s">
        <v>53</v>
      </c>
      <c r="K17" s="186"/>
      <c r="L17" s="186"/>
      <c r="M17" s="186" t="s">
        <v>54</v>
      </c>
      <c r="N17" s="186"/>
      <c r="O17" s="186"/>
    </row>
    <row r="18" spans="1:15" ht="30.75" customHeight="1" thickBot="1">
      <c r="A18" s="169" t="s">
        <v>2</v>
      </c>
      <c r="B18" s="178" t="s">
        <v>20</v>
      </c>
      <c r="C18" s="178"/>
      <c r="D18" s="179" t="s">
        <v>21</v>
      </c>
      <c r="E18" s="179"/>
      <c r="F18" s="179"/>
      <c r="G18" s="180" t="s">
        <v>22</v>
      </c>
      <c r="H18" s="180"/>
      <c r="I18" s="180"/>
      <c r="J18" s="181" t="s">
        <v>23</v>
      </c>
      <c r="K18" s="181"/>
      <c r="L18" s="181"/>
      <c r="M18" s="182" t="s">
        <v>24</v>
      </c>
      <c r="N18" s="182"/>
      <c r="O18" s="182"/>
    </row>
    <row r="19" spans="1:15" ht="118.5" customHeight="1" thickBot="1">
      <c r="A19" s="22" t="s">
        <v>55</v>
      </c>
      <c r="B19" s="184"/>
      <c r="C19" s="184"/>
      <c r="D19" s="183"/>
      <c r="E19" s="183"/>
      <c r="F19" s="183"/>
      <c r="G19" s="183"/>
      <c r="H19" s="183"/>
      <c r="I19" s="183"/>
      <c r="J19" s="183"/>
      <c r="K19" s="183"/>
      <c r="L19" s="183"/>
      <c r="M19" s="183"/>
      <c r="N19" s="183"/>
      <c r="O19" s="183"/>
    </row>
    <row r="20" spans="1:15" ht="118.5" customHeight="1" thickBot="1">
      <c r="A20" s="22" t="s">
        <v>56</v>
      </c>
      <c r="B20" s="172"/>
      <c r="C20" s="172"/>
      <c r="D20" s="171"/>
      <c r="E20" s="171"/>
      <c r="F20" s="171"/>
      <c r="G20" s="171"/>
      <c r="H20" s="171"/>
      <c r="I20" s="171"/>
      <c r="J20" s="171"/>
      <c r="K20" s="171"/>
      <c r="L20" s="171"/>
      <c r="M20" s="171"/>
      <c r="N20" s="171"/>
      <c r="O20" s="171"/>
    </row>
    <row r="21" spans="1:15" ht="118.5" customHeight="1" thickBot="1">
      <c r="A21" s="22" t="s">
        <v>57</v>
      </c>
      <c r="B21" s="172"/>
      <c r="C21" s="172"/>
      <c r="D21" s="171"/>
      <c r="E21" s="171"/>
      <c r="F21" s="171"/>
      <c r="G21" s="171"/>
      <c r="H21" s="171"/>
      <c r="I21" s="171"/>
      <c r="J21" s="171"/>
      <c r="K21" s="171"/>
      <c r="L21" s="171"/>
      <c r="M21" s="171"/>
      <c r="N21" s="171"/>
      <c r="O21" s="171"/>
    </row>
  </sheetData>
  <mergeCells count="55">
    <mergeCell ref="A6:B6"/>
    <mergeCell ref="B14:C14"/>
    <mergeCell ref="B15:C15"/>
    <mergeCell ref="M14:O14"/>
    <mergeCell ref="M15:O15"/>
    <mergeCell ref="A8:A10"/>
    <mergeCell ref="B7:C7"/>
    <mergeCell ref="B8:C10"/>
    <mergeCell ref="M11:O13"/>
    <mergeCell ref="J7:L7"/>
    <mergeCell ref="J8:L10"/>
    <mergeCell ref="B11:C13"/>
    <mergeCell ref="A11:A13"/>
    <mergeCell ref="D11:F13"/>
    <mergeCell ref="G11:I13"/>
    <mergeCell ref="J11:L13"/>
    <mergeCell ref="A2:B2"/>
    <mergeCell ref="A3:B3"/>
    <mergeCell ref="A1:B1"/>
    <mergeCell ref="A4:B4"/>
    <mergeCell ref="A5:B5"/>
    <mergeCell ref="C1:O1"/>
    <mergeCell ref="C6:O6"/>
    <mergeCell ref="M7:O7"/>
    <mergeCell ref="M8:O10"/>
    <mergeCell ref="D7:F7"/>
    <mergeCell ref="D8:F10"/>
    <mergeCell ref="G7:I7"/>
    <mergeCell ref="G8:I10"/>
    <mergeCell ref="J14:L14"/>
    <mergeCell ref="J15:L15"/>
    <mergeCell ref="G14:I14"/>
    <mergeCell ref="G15:I15"/>
    <mergeCell ref="D14:F14"/>
    <mergeCell ref="D15:F15"/>
    <mergeCell ref="B17:C17"/>
    <mergeCell ref="D17:F17"/>
    <mergeCell ref="G17:I17"/>
    <mergeCell ref="J17:L17"/>
    <mergeCell ref="M17:O17"/>
    <mergeCell ref="B16:C16"/>
    <mergeCell ref="D16:F16"/>
    <mergeCell ref="G16:I16"/>
    <mergeCell ref="J16:L16"/>
    <mergeCell ref="M16:O16"/>
    <mergeCell ref="M19:O19"/>
    <mergeCell ref="B19:C19"/>
    <mergeCell ref="D19:F19"/>
    <mergeCell ref="G19:I19"/>
    <mergeCell ref="J19:L19"/>
    <mergeCell ref="B18:C18"/>
    <mergeCell ref="D18:F18"/>
    <mergeCell ref="G18:I18"/>
    <mergeCell ref="J18:L18"/>
    <mergeCell ref="M18:O18"/>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F73C6-109F-4857-A3D2-7A642FD077A2}">
  <sheetPr>
    <tabColor rgb="FFFFC000"/>
  </sheetPr>
  <dimension ref="A1:O19"/>
  <sheetViews>
    <sheetView workbookViewId="0">
      <selection activeCell="A5" sqref="A5:B5"/>
    </sheetView>
  </sheetViews>
  <sheetFormatPr defaultRowHeight="15"/>
  <cols>
    <col min="2" max="2" width="65.5703125" customWidth="1"/>
    <col min="3" max="15" width="11.85546875" customWidth="1"/>
  </cols>
  <sheetData>
    <row r="1" spans="1:15">
      <c r="A1" s="206" t="s">
        <v>58</v>
      </c>
      <c r="B1" s="207"/>
      <c r="C1" s="212">
        <v>2025</v>
      </c>
      <c r="D1" s="212"/>
      <c r="E1" s="212"/>
      <c r="F1" s="212"/>
      <c r="G1" s="212"/>
      <c r="H1" s="212"/>
      <c r="I1" s="212"/>
      <c r="J1" s="212"/>
      <c r="K1" s="212"/>
      <c r="L1" s="212"/>
      <c r="M1" s="212"/>
      <c r="N1" s="212"/>
      <c r="O1" s="213"/>
    </row>
    <row r="2" spans="1:15" ht="16.5" customHeight="1">
      <c r="A2" s="208"/>
      <c r="B2" s="209"/>
      <c r="C2" s="118">
        <f>C4/C5</f>
        <v>5.0951086956521736E-2</v>
      </c>
      <c r="D2" s="118">
        <f t="shared" ref="D2:K2" si="0">D4/D5</f>
        <v>4.3648208469055372E-2</v>
      </c>
      <c r="E2" s="118">
        <f t="shared" si="0"/>
        <v>4.044357469015003E-2</v>
      </c>
      <c r="F2" s="118">
        <f t="shared" si="0"/>
        <v>3.4525277435265102E-2</v>
      </c>
      <c r="G2" s="118">
        <f t="shared" si="0"/>
        <v>5.9738643434971997E-2</v>
      </c>
      <c r="H2" s="118">
        <f t="shared" si="0"/>
        <v>3.3333333333333333E-2</v>
      </c>
      <c r="I2" s="118">
        <f t="shared" si="0"/>
        <v>3.5934868051656375E-2</v>
      </c>
      <c r="J2" s="118">
        <f t="shared" si="0"/>
        <v>3.3720930232558143E-2</v>
      </c>
      <c r="K2" s="118">
        <f t="shared" si="0"/>
        <v>3.6752605595172794E-2</v>
      </c>
      <c r="L2" s="20"/>
      <c r="M2" s="20"/>
      <c r="N2" s="20"/>
      <c r="O2" s="119">
        <f>+MEDIAN(C2:N2)</f>
        <v>3.6752605595172794E-2</v>
      </c>
    </row>
    <row r="3" spans="1:15">
      <c r="A3" s="221" t="s">
        <v>2</v>
      </c>
      <c r="B3" s="222"/>
      <c r="C3" s="68" t="s">
        <v>3</v>
      </c>
      <c r="D3" s="68" t="s">
        <v>4</v>
      </c>
      <c r="E3" s="68" t="s">
        <v>5</v>
      </c>
      <c r="F3" s="68" t="s">
        <v>6</v>
      </c>
      <c r="G3" s="68" t="s">
        <v>7</v>
      </c>
      <c r="H3" s="68" t="s">
        <v>8</v>
      </c>
      <c r="I3" s="68" t="s">
        <v>9</v>
      </c>
      <c r="J3" s="68" t="s">
        <v>10</v>
      </c>
      <c r="K3" s="68" t="s">
        <v>11</v>
      </c>
      <c r="L3" s="68" t="s">
        <v>12</v>
      </c>
      <c r="M3" s="68" t="s">
        <v>13</v>
      </c>
      <c r="N3" s="68" t="s">
        <v>14</v>
      </c>
      <c r="O3" s="66" t="s">
        <v>15</v>
      </c>
    </row>
    <row r="4" spans="1:15" ht="31.5" customHeight="1">
      <c r="A4" s="210" t="s">
        <v>59</v>
      </c>
      <c r="B4" s="211"/>
      <c r="C4" s="21">
        <v>75</v>
      </c>
      <c r="D4" s="21">
        <v>67</v>
      </c>
      <c r="E4" s="21">
        <v>62</v>
      </c>
      <c r="F4" s="21">
        <v>56</v>
      </c>
      <c r="G4" s="21">
        <v>96</v>
      </c>
      <c r="H4" s="21">
        <v>51</v>
      </c>
      <c r="I4" s="21">
        <v>64</v>
      </c>
      <c r="J4" s="21">
        <v>58</v>
      </c>
      <c r="K4" s="21">
        <v>67</v>
      </c>
      <c r="L4" s="21">
        <v>0</v>
      </c>
      <c r="M4" s="21">
        <v>0</v>
      </c>
      <c r="N4" s="21">
        <v>0</v>
      </c>
      <c r="O4" s="67">
        <f>+MEDIAN(C4:N4)</f>
        <v>60</v>
      </c>
    </row>
    <row r="5" spans="1:15" ht="27" customHeight="1">
      <c r="A5" s="210" t="s">
        <v>60</v>
      </c>
      <c r="B5" s="211"/>
      <c r="C5" s="21">
        <v>1472</v>
      </c>
      <c r="D5" s="21">
        <v>1535</v>
      </c>
      <c r="E5" s="21">
        <v>1533</v>
      </c>
      <c r="F5" s="21">
        <v>1622</v>
      </c>
      <c r="G5" s="21">
        <v>1607</v>
      </c>
      <c r="H5" s="21">
        <v>1530</v>
      </c>
      <c r="I5" s="21">
        <v>1781</v>
      </c>
      <c r="J5" s="21">
        <v>1720</v>
      </c>
      <c r="K5" s="21">
        <v>1823</v>
      </c>
      <c r="L5" s="21">
        <v>0</v>
      </c>
      <c r="M5" s="21">
        <v>0</v>
      </c>
      <c r="N5" s="21">
        <v>0</v>
      </c>
      <c r="O5" s="67">
        <f>+MEDIAN(C5:N5)</f>
        <v>1534</v>
      </c>
    </row>
    <row r="6" spans="1:15" ht="15.75" thickBot="1">
      <c r="A6" s="214" t="s">
        <v>61</v>
      </c>
      <c r="B6" s="215"/>
      <c r="C6" s="216" t="s">
        <v>62</v>
      </c>
      <c r="D6" s="216"/>
      <c r="E6" s="216"/>
      <c r="F6" s="216"/>
      <c r="G6" s="216"/>
      <c r="H6" s="216"/>
      <c r="I6" s="216"/>
      <c r="J6" s="216"/>
      <c r="K6" s="216"/>
      <c r="L6" s="216"/>
      <c r="M6" s="216"/>
      <c r="N6" s="216"/>
      <c r="O6" s="217"/>
    </row>
    <row r="7" spans="1:15" ht="31.5" customHeight="1" thickBot="1">
      <c r="A7" s="173" t="s">
        <v>2</v>
      </c>
      <c r="B7" s="218" t="s">
        <v>20</v>
      </c>
      <c r="C7" s="218"/>
      <c r="D7" s="219" t="s">
        <v>21</v>
      </c>
      <c r="E7" s="219"/>
      <c r="F7" s="219"/>
      <c r="G7" s="220" t="s">
        <v>22</v>
      </c>
      <c r="H7" s="220"/>
      <c r="I7" s="220"/>
      <c r="J7" s="223" t="s">
        <v>23</v>
      </c>
      <c r="K7" s="223"/>
      <c r="L7" s="223"/>
      <c r="M7" s="224" t="s">
        <v>24</v>
      </c>
      <c r="N7" s="224"/>
      <c r="O7" s="224"/>
    </row>
    <row r="8" spans="1:15" ht="149.25" customHeight="1" thickBot="1">
      <c r="A8" s="23" t="s">
        <v>63</v>
      </c>
      <c r="B8" s="186" t="s">
        <v>64</v>
      </c>
      <c r="C8" s="186"/>
      <c r="D8" s="186" t="s">
        <v>65</v>
      </c>
      <c r="E8" s="186"/>
      <c r="F8" s="186"/>
      <c r="G8" s="186" t="s">
        <v>66</v>
      </c>
      <c r="H8" s="186"/>
      <c r="I8" s="186"/>
      <c r="J8" s="186" t="s">
        <v>67</v>
      </c>
      <c r="K8" s="186"/>
      <c r="L8" s="186"/>
      <c r="M8" s="186" t="s">
        <v>68</v>
      </c>
      <c r="N8" s="186"/>
      <c r="O8" s="186"/>
    </row>
    <row r="9" spans="1:15" ht="133.5" customHeight="1" thickBot="1">
      <c r="A9" s="174" t="s">
        <v>69</v>
      </c>
      <c r="B9" s="186" t="s">
        <v>70</v>
      </c>
      <c r="C9" s="186"/>
      <c r="D9" s="186"/>
      <c r="E9" s="186"/>
      <c r="F9" s="186"/>
      <c r="G9" s="186"/>
      <c r="H9" s="186"/>
      <c r="I9" s="186"/>
      <c r="J9" s="186"/>
      <c r="K9" s="186"/>
      <c r="L9" s="186"/>
      <c r="M9" s="186"/>
      <c r="N9" s="186"/>
      <c r="O9" s="186"/>
    </row>
    <row r="10" spans="1:15" ht="111" customHeight="1" thickBot="1">
      <c r="A10" s="174" t="s">
        <v>71</v>
      </c>
      <c r="B10" s="186" t="s">
        <v>72</v>
      </c>
      <c r="C10" s="186"/>
      <c r="D10" s="186"/>
      <c r="E10" s="186"/>
      <c r="F10" s="186"/>
      <c r="G10" s="186"/>
      <c r="H10" s="186"/>
      <c r="I10" s="186"/>
      <c r="J10" s="186"/>
      <c r="K10" s="186"/>
      <c r="L10" s="186"/>
      <c r="M10" s="186"/>
      <c r="N10" s="186"/>
      <c r="O10" s="186"/>
    </row>
    <row r="11" spans="1:15" ht="35.25" customHeight="1" thickBot="1">
      <c r="A11" s="170" t="s">
        <v>2</v>
      </c>
      <c r="B11" s="204" t="s">
        <v>20</v>
      </c>
      <c r="C11" s="204"/>
      <c r="D11" s="192" t="s">
        <v>21</v>
      </c>
      <c r="E11" s="192"/>
      <c r="F11" s="192"/>
      <c r="G11" s="193" t="s">
        <v>22</v>
      </c>
      <c r="H11" s="193"/>
      <c r="I11" s="193"/>
      <c r="J11" s="205" t="s">
        <v>23</v>
      </c>
      <c r="K11" s="205"/>
      <c r="L11" s="205"/>
      <c r="M11" s="191" t="s">
        <v>24</v>
      </c>
      <c r="N11" s="191"/>
      <c r="O11" s="191"/>
    </row>
    <row r="12" spans="1:15" s="24" customFormat="1" ht="170.25" customHeight="1" thickBot="1">
      <c r="A12" s="52" t="s">
        <v>73</v>
      </c>
      <c r="B12" s="185" t="s">
        <v>74</v>
      </c>
      <c r="C12" s="185"/>
      <c r="D12" s="186" t="s">
        <v>75</v>
      </c>
      <c r="E12" s="186"/>
      <c r="F12" s="186"/>
      <c r="G12" s="186" t="s">
        <v>76</v>
      </c>
      <c r="H12" s="186"/>
      <c r="I12" s="186"/>
      <c r="J12" s="185" t="s">
        <v>77</v>
      </c>
      <c r="K12" s="185"/>
      <c r="L12" s="185"/>
      <c r="M12" s="185" t="s">
        <v>78</v>
      </c>
      <c r="N12" s="185"/>
      <c r="O12" s="185"/>
    </row>
    <row r="13" spans="1:15" s="19" customFormat="1" ht="170.25" customHeight="1" thickBot="1">
      <c r="A13" s="50" t="s">
        <v>79</v>
      </c>
      <c r="B13" s="186" t="s">
        <v>80</v>
      </c>
      <c r="C13" s="186"/>
      <c r="D13" s="186"/>
      <c r="E13" s="186"/>
      <c r="F13" s="186"/>
      <c r="G13" s="186"/>
      <c r="H13" s="186"/>
      <c r="I13" s="186"/>
      <c r="J13" s="185"/>
      <c r="K13" s="185"/>
      <c r="L13" s="185"/>
      <c r="M13" s="185"/>
      <c r="N13" s="185"/>
      <c r="O13" s="185"/>
    </row>
    <row r="14" spans="1:15" s="19" customFormat="1" ht="170.25" customHeight="1" thickBot="1">
      <c r="A14" s="50" t="s">
        <v>81</v>
      </c>
      <c r="B14" s="186" t="s">
        <v>82</v>
      </c>
      <c r="C14" s="186"/>
      <c r="D14" s="186"/>
      <c r="E14" s="186"/>
      <c r="F14" s="186"/>
      <c r="G14" s="186"/>
      <c r="H14" s="186"/>
      <c r="I14" s="186"/>
      <c r="J14" s="185"/>
      <c r="K14" s="185"/>
      <c r="L14" s="185"/>
      <c r="M14" s="185"/>
      <c r="N14" s="185"/>
      <c r="O14" s="185"/>
    </row>
    <row r="15" spans="1:15" ht="33.75" customHeight="1" thickBot="1">
      <c r="A15" s="170" t="s">
        <v>2</v>
      </c>
      <c r="B15" s="204" t="s">
        <v>20</v>
      </c>
      <c r="C15" s="204"/>
      <c r="D15" s="192" t="s">
        <v>21</v>
      </c>
      <c r="E15" s="192"/>
      <c r="F15" s="192"/>
      <c r="G15" s="193" t="s">
        <v>22</v>
      </c>
      <c r="H15" s="193"/>
      <c r="I15" s="193"/>
      <c r="J15" s="205" t="s">
        <v>23</v>
      </c>
      <c r="K15" s="205"/>
      <c r="L15" s="205"/>
      <c r="M15" s="191" t="s">
        <v>24</v>
      </c>
      <c r="N15" s="191"/>
      <c r="O15" s="191"/>
    </row>
    <row r="16" spans="1:15" s="24" customFormat="1" ht="118.5" customHeight="1" thickBot="1">
      <c r="A16" s="174" t="s">
        <v>37</v>
      </c>
      <c r="B16" s="186" t="s">
        <v>83</v>
      </c>
      <c r="C16" s="186"/>
      <c r="D16" s="186" t="s">
        <v>84</v>
      </c>
      <c r="E16" s="186"/>
      <c r="F16" s="186"/>
      <c r="G16" s="186" t="s">
        <v>85</v>
      </c>
      <c r="H16" s="186"/>
      <c r="I16" s="186"/>
      <c r="J16" s="186" t="s">
        <v>86</v>
      </c>
      <c r="K16" s="186"/>
      <c r="L16" s="186"/>
      <c r="M16" s="186" t="s">
        <v>87</v>
      </c>
      <c r="N16" s="186"/>
      <c r="O16" s="186"/>
    </row>
    <row r="17" spans="1:15" s="24" customFormat="1" ht="118.5" customHeight="1" thickBot="1">
      <c r="A17" s="174" t="s">
        <v>43</v>
      </c>
      <c r="B17" s="186" t="s">
        <v>88</v>
      </c>
      <c r="C17" s="186"/>
      <c r="D17" s="186"/>
      <c r="E17" s="186"/>
      <c r="F17" s="186"/>
      <c r="G17" s="186"/>
      <c r="H17" s="186"/>
      <c r="I17" s="186"/>
      <c r="J17" s="186"/>
      <c r="K17" s="186"/>
      <c r="L17" s="186"/>
      <c r="M17" s="186"/>
      <c r="N17" s="186"/>
      <c r="O17" s="186"/>
    </row>
    <row r="18" spans="1:15" s="24" customFormat="1" ht="118.5" customHeight="1" thickBot="1">
      <c r="A18" s="174" t="s">
        <v>49</v>
      </c>
      <c r="B18" s="186" t="s">
        <v>89</v>
      </c>
      <c r="C18" s="186"/>
      <c r="D18" s="186"/>
      <c r="E18" s="186"/>
      <c r="F18" s="186"/>
      <c r="G18" s="186"/>
      <c r="H18" s="186"/>
      <c r="I18" s="186"/>
      <c r="J18" s="186"/>
      <c r="K18" s="186"/>
      <c r="L18" s="186"/>
      <c r="M18" s="186"/>
      <c r="N18" s="186"/>
      <c r="O18" s="186"/>
    </row>
    <row r="19" spans="1:15" s="24" customFormat="1" ht="118.5" customHeight="1"/>
  </sheetData>
  <mergeCells count="43">
    <mergeCell ref="B17:C17"/>
    <mergeCell ref="B18:C18"/>
    <mergeCell ref="M8:O10"/>
    <mergeCell ref="D11:F11"/>
    <mergeCell ref="B12:C12"/>
    <mergeCell ref="B9:C9"/>
    <mergeCell ref="B10:C10"/>
    <mergeCell ref="D8:F10"/>
    <mergeCell ref="G8:I10"/>
    <mergeCell ref="J8:L10"/>
    <mergeCell ref="B8:C8"/>
    <mergeCell ref="B14:C14"/>
    <mergeCell ref="D12:F14"/>
    <mergeCell ref="G12:I14"/>
    <mergeCell ref="J12:L14"/>
    <mergeCell ref="M12:O14"/>
    <mergeCell ref="A5:B5"/>
    <mergeCell ref="C1:O1"/>
    <mergeCell ref="A6:B6"/>
    <mergeCell ref="C6:O6"/>
    <mergeCell ref="B7:C7"/>
    <mergeCell ref="D7:F7"/>
    <mergeCell ref="G7:I7"/>
    <mergeCell ref="A3:B3"/>
    <mergeCell ref="A4:B4"/>
    <mergeCell ref="J7:L7"/>
    <mergeCell ref="M7:O7"/>
    <mergeCell ref="J16:L18"/>
    <mergeCell ref="M16:O18"/>
    <mergeCell ref="B11:C11"/>
    <mergeCell ref="A1:B2"/>
    <mergeCell ref="B15:C15"/>
    <mergeCell ref="D15:F15"/>
    <mergeCell ref="G15:I15"/>
    <mergeCell ref="J15:L15"/>
    <mergeCell ref="M15:O15"/>
    <mergeCell ref="B16:C16"/>
    <mergeCell ref="D16:F18"/>
    <mergeCell ref="G16:I18"/>
    <mergeCell ref="G11:I11"/>
    <mergeCell ref="J11:L11"/>
    <mergeCell ref="M11:O11"/>
    <mergeCell ref="B13:C13"/>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CBD5-F8E6-46F6-860A-128E8CAEC2C4}">
  <sheetPr>
    <tabColor rgb="FF00B050"/>
  </sheetPr>
  <dimension ref="A1:R34"/>
  <sheetViews>
    <sheetView zoomScale="80" zoomScaleNormal="80" workbookViewId="0">
      <selection activeCell="D8" sqref="D8:F13"/>
    </sheetView>
  </sheetViews>
  <sheetFormatPr defaultRowHeight="15"/>
  <cols>
    <col min="1" max="1" width="13.140625" customWidth="1"/>
    <col min="2" max="2" width="64.5703125" customWidth="1"/>
    <col min="3" max="3" width="5.42578125" bestFit="1" customWidth="1"/>
    <col min="4" max="4" width="6.85546875" bestFit="1" customWidth="1"/>
    <col min="5" max="5" width="5" bestFit="1" customWidth="1"/>
    <col min="6" max="7" width="4.5703125" bestFit="1" customWidth="1"/>
    <col min="8" max="8" width="4.7109375" bestFit="1" customWidth="1"/>
    <col min="9" max="9" width="4.5703125" bestFit="1" customWidth="1"/>
    <col min="10" max="10" width="5.28515625" bestFit="1" customWidth="1"/>
    <col min="11" max="11" width="7.140625" bestFit="1" customWidth="1"/>
    <col min="12" max="12" width="6.28515625" bestFit="1" customWidth="1"/>
    <col min="13" max="13" width="7.7109375" bestFit="1" customWidth="1"/>
    <col min="14" max="14" width="7.42578125" bestFit="1" customWidth="1"/>
    <col min="15" max="15" width="9" bestFit="1" customWidth="1"/>
  </cols>
  <sheetData>
    <row r="1" spans="1:18" ht="15.75" thickBot="1">
      <c r="A1" s="240" t="s">
        <v>90</v>
      </c>
      <c r="B1" s="241"/>
      <c r="C1" s="236">
        <v>2025</v>
      </c>
      <c r="D1" s="237"/>
      <c r="E1" s="237"/>
      <c r="F1" s="237"/>
      <c r="G1" s="237"/>
      <c r="H1" s="237"/>
      <c r="I1" s="237"/>
      <c r="J1" s="237"/>
      <c r="K1" s="237"/>
      <c r="L1" s="237"/>
      <c r="M1" s="237"/>
      <c r="N1" s="237"/>
      <c r="O1" s="237"/>
      <c r="P1" s="1"/>
      <c r="Q1" s="1"/>
      <c r="R1" s="1"/>
    </row>
    <row r="2" spans="1:18" ht="16.5" thickTop="1" thickBot="1">
      <c r="A2" s="240"/>
      <c r="B2" s="241"/>
      <c r="C2" s="2">
        <v>0.32</v>
      </c>
      <c r="D2" s="2">
        <v>0.35</v>
      </c>
      <c r="E2" s="2">
        <v>0.32</v>
      </c>
      <c r="F2" s="2">
        <v>0.41</v>
      </c>
      <c r="G2" s="2">
        <v>0.38</v>
      </c>
      <c r="H2" s="2">
        <v>0.4</v>
      </c>
      <c r="I2" s="2">
        <v>0.4</v>
      </c>
      <c r="J2" s="2">
        <v>0.43</v>
      </c>
      <c r="K2" s="2">
        <v>0.42</v>
      </c>
      <c r="L2" s="3"/>
      <c r="M2" s="3"/>
      <c r="N2" s="3"/>
      <c r="O2" s="69">
        <f>MEDIAN(C2:N2)</f>
        <v>0.4</v>
      </c>
      <c r="P2" s="1"/>
      <c r="Q2" s="1"/>
      <c r="R2" s="1"/>
    </row>
    <row r="3" spans="1:18" ht="16.5" thickTop="1" thickBot="1">
      <c r="A3" s="240" t="s">
        <v>2</v>
      </c>
      <c r="B3" s="241"/>
      <c r="C3" s="4" t="s">
        <v>3</v>
      </c>
      <c r="D3" s="4" t="s">
        <v>4</v>
      </c>
      <c r="E3" s="4" t="s">
        <v>5</v>
      </c>
      <c r="F3" s="4" t="s">
        <v>6</v>
      </c>
      <c r="G3" s="4" t="s">
        <v>7</v>
      </c>
      <c r="H3" s="4" t="s">
        <v>8</v>
      </c>
      <c r="I3" s="4" t="s">
        <v>9</v>
      </c>
      <c r="J3" s="4" t="s">
        <v>10</v>
      </c>
      <c r="K3" s="4" t="s">
        <v>11</v>
      </c>
      <c r="L3" s="4" t="s">
        <v>12</v>
      </c>
      <c r="M3" s="4" t="s">
        <v>13</v>
      </c>
      <c r="N3" s="4" t="s">
        <v>14</v>
      </c>
      <c r="O3" s="26" t="s">
        <v>91</v>
      </c>
      <c r="P3" s="1"/>
      <c r="Q3" s="1"/>
      <c r="R3" s="1"/>
    </row>
    <row r="4" spans="1:18" ht="16.5" thickTop="1" thickBot="1">
      <c r="A4" s="242" t="s">
        <v>92</v>
      </c>
      <c r="B4" s="243"/>
      <c r="C4" s="5">
        <v>191</v>
      </c>
      <c r="D4" s="5">
        <v>208</v>
      </c>
      <c r="E4" s="5">
        <v>221</v>
      </c>
      <c r="F4" s="5">
        <v>295</v>
      </c>
      <c r="G4" s="5">
        <v>309</v>
      </c>
      <c r="H4" s="5">
        <v>334</v>
      </c>
      <c r="I4" s="5">
        <v>293</v>
      </c>
      <c r="J4" s="5">
        <v>366</v>
      </c>
      <c r="K4" s="5">
        <v>360</v>
      </c>
      <c r="L4" s="5">
        <v>0</v>
      </c>
      <c r="M4" s="5">
        <v>0</v>
      </c>
      <c r="N4" s="5">
        <v>0</v>
      </c>
      <c r="O4" s="27">
        <f>MEDIAN(C4:N4)</f>
        <v>257</v>
      </c>
      <c r="P4" s="1"/>
      <c r="Q4" s="1"/>
      <c r="R4" s="1"/>
    </row>
    <row r="5" spans="1:18" ht="16.5" thickTop="1" thickBot="1">
      <c r="A5" s="242" t="s">
        <v>93</v>
      </c>
      <c r="B5" s="243"/>
      <c r="C5" s="11">
        <v>600</v>
      </c>
      <c r="D5" s="11">
        <v>599</v>
      </c>
      <c r="E5" s="11">
        <v>689</v>
      </c>
      <c r="F5" s="11">
        <v>728</v>
      </c>
      <c r="G5" s="11">
        <v>804</v>
      </c>
      <c r="H5" s="11">
        <v>827</v>
      </c>
      <c r="I5" s="11">
        <v>728</v>
      </c>
      <c r="J5" s="11">
        <v>842</v>
      </c>
      <c r="K5" s="6">
        <v>851</v>
      </c>
      <c r="L5" s="6">
        <v>0</v>
      </c>
      <c r="M5" s="6">
        <v>0</v>
      </c>
      <c r="N5" s="6">
        <v>0</v>
      </c>
      <c r="O5" s="27">
        <f>MEDIAN(C5:N5)</f>
        <v>708.5</v>
      </c>
      <c r="P5" s="1"/>
      <c r="Q5" s="1"/>
      <c r="R5" s="1"/>
    </row>
    <row r="6" spans="1:18" ht="16.5" thickTop="1" thickBot="1">
      <c r="A6" s="244" t="s">
        <v>61</v>
      </c>
      <c r="B6" s="245"/>
      <c r="C6" s="238" t="s">
        <v>94</v>
      </c>
      <c r="D6" s="239"/>
      <c r="E6" s="239"/>
      <c r="F6" s="239"/>
      <c r="G6" s="239"/>
      <c r="H6" s="239"/>
      <c r="I6" s="239"/>
      <c r="J6" s="239"/>
      <c r="K6" s="239"/>
      <c r="L6" s="239"/>
      <c r="M6" s="239"/>
      <c r="N6" s="239"/>
      <c r="O6" s="239"/>
      <c r="P6" s="1"/>
      <c r="Q6" s="1"/>
      <c r="R6" s="1"/>
    </row>
    <row r="7" spans="1:18" ht="36" customHeight="1" thickBot="1">
      <c r="A7" s="170" t="s">
        <v>2</v>
      </c>
      <c r="B7" s="204" t="s">
        <v>20</v>
      </c>
      <c r="C7" s="204"/>
      <c r="D7" s="192" t="s">
        <v>21</v>
      </c>
      <c r="E7" s="192"/>
      <c r="F7" s="192"/>
      <c r="G7" s="193" t="s">
        <v>22</v>
      </c>
      <c r="H7" s="193"/>
      <c r="I7" s="193"/>
      <c r="J7" s="205" t="s">
        <v>23</v>
      </c>
      <c r="K7" s="205"/>
      <c r="L7" s="205"/>
      <c r="M7" s="191" t="s">
        <v>24</v>
      </c>
      <c r="N7" s="191"/>
      <c r="O7" s="191"/>
    </row>
    <row r="8" spans="1:18" ht="94.5" customHeight="1" thickBot="1">
      <c r="A8" s="235" t="s">
        <v>3</v>
      </c>
      <c r="B8" s="186" t="s">
        <v>95</v>
      </c>
      <c r="C8" s="186"/>
      <c r="D8" s="226" t="s">
        <v>96</v>
      </c>
      <c r="E8" s="227"/>
      <c r="F8" s="228"/>
      <c r="G8" s="226" t="s">
        <v>97</v>
      </c>
      <c r="H8" s="227"/>
      <c r="I8" s="228"/>
      <c r="J8" s="226" t="s">
        <v>98</v>
      </c>
      <c r="K8" s="227"/>
      <c r="L8" s="228"/>
      <c r="M8" s="226" t="s">
        <v>99</v>
      </c>
      <c r="N8" s="227"/>
      <c r="O8" s="228"/>
      <c r="P8" s="25"/>
      <c r="Q8" s="25"/>
      <c r="R8" s="25"/>
    </row>
    <row r="9" spans="1:18" ht="94.5" customHeight="1" thickBot="1">
      <c r="A9" s="235"/>
      <c r="B9" s="186"/>
      <c r="C9" s="186"/>
      <c r="D9" s="229"/>
      <c r="E9" s="230"/>
      <c r="F9" s="231"/>
      <c r="G9" s="229"/>
      <c r="H9" s="230"/>
      <c r="I9" s="231"/>
      <c r="J9" s="229"/>
      <c r="K9" s="230"/>
      <c r="L9" s="231"/>
      <c r="M9" s="229"/>
      <c r="N9" s="230"/>
      <c r="O9" s="231"/>
      <c r="P9" s="1"/>
      <c r="Q9" s="1"/>
      <c r="R9" s="1"/>
    </row>
    <row r="10" spans="1:18" ht="94.5" customHeight="1" thickBot="1">
      <c r="A10" s="235" t="s">
        <v>4</v>
      </c>
      <c r="B10" s="186" t="s">
        <v>100</v>
      </c>
      <c r="C10" s="186"/>
      <c r="D10" s="229"/>
      <c r="E10" s="230"/>
      <c r="F10" s="231"/>
      <c r="G10" s="229"/>
      <c r="H10" s="230"/>
      <c r="I10" s="231"/>
      <c r="J10" s="229"/>
      <c r="K10" s="230"/>
      <c r="L10" s="231"/>
      <c r="M10" s="229"/>
      <c r="N10" s="230"/>
      <c r="O10" s="231"/>
      <c r="P10" s="1"/>
      <c r="Q10" s="1"/>
      <c r="R10" s="1"/>
    </row>
    <row r="11" spans="1:18" ht="94.5" customHeight="1" thickBot="1">
      <c r="A11" s="235"/>
      <c r="B11" s="186"/>
      <c r="C11" s="186"/>
      <c r="D11" s="229"/>
      <c r="E11" s="230"/>
      <c r="F11" s="231"/>
      <c r="G11" s="229"/>
      <c r="H11" s="230"/>
      <c r="I11" s="231"/>
      <c r="J11" s="229"/>
      <c r="K11" s="230"/>
      <c r="L11" s="231"/>
      <c r="M11" s="229"/>
      <c r="N11" s="230"/>
      <c r="O11" s="231"/>
      <c r="P11" s="1"/>
      <c r="Q11" s="1"/>
      <c r="R11" s="1"/>
    </row>
    <row r="12" spans="1:18" ht="94.5" customHeight="1" thickBot="1">
      <c r="A12" s="235" t="s">
        <v>5</v>
      </c>
      <c r="B12" s="186" t="s">
        <v>101</v>
      </c>
      <c r="C12" s="186"/>
      <c r="D12" s="229"/>
      <c r="E12" s="230"/>
      <c r="F12" s="231"/>
      <c r="G12" s="229"/>
      <c r="H12" s="230"/>
      <c r="I12" s="231"/>
      <c r="J12" s="229"/>
      <c r="K12" s="230"/>
      <c r="L12" s="231"/>
      <c r="M12" s="229"/>
      <c r="N12" s="230"/>
      <c r="O12" s="231"/>
      <c r="P12" s="1"/>
      <c r="Q12" s="1"/>
      <c r="R12" s="1"/>
    </row>
    <row r="13" spans="1:18" ht="94.5" customHeight="1" thickBot="1">
      <c r="A13" s="235"/>
      <c r="B13" s="186"/>
      <c r="C13" s="186"/>
      <c r="D13" s="232"/>
      <c r="E13" s="233"/>
      <c r="F13" s="234"/>
      <c r="G13" s="232"/>
      <c r="H13" s="233"/>
      <c r="I13" s="234"/>
      <c r="J13" s="232"/>
      <c r="K13" s="233"/>
      <c r="L13" s="234"/>
      <c r="M13" s="232"/>
      <c r="N13" s="233"/>
      <c r="O13" s="234"/>
      <c r="P13" s="1"/>
      <c r="Q13" s="1"/>
      <c r="R13" s="1"/>
    </row>
    <row r="14" spans="1:18" ht="15.75" thickBot="1">
      <c r="A14" s="170" t="s">
        <v>2</v>
      </c>
      <c r="B14" s="204" t="s">
        <v>20</v>
      </c>
      <c r="C14" s="204"/>
      <c r="D14" s="192" t="s">
        <v>21</v>
      </c>
      <c r="E14" s="192"/>
      <c r="F14" s="192"/>
      <c r="G14" s="193" t="s">
        <v>22</v>
      </c>
      <c r="H14" s="193"/>
      <c r="I14" s="193"/>
      <c r="J14" s="205" t="s">
        <v>23</v>
      </c>
      <c r="K14" s="205"/>
      <c r="L14" s="205"/>
      <c r="M14" s="191" t="s">
        <v>24</v>
      </c>
      <c r="N14" s="191"/>
      <c r="O14" s="191"/>
      <c r="P14" s="1"/>
      <c r="Q14" s="1"/>
      <c r="R14" s="1"/>
    </row>
    <row r="15" spans="1:18" ht="94.5" customHeight="1" thickBot="1">
      <c r="A15" s="235" t="s">
        <v>6</v>
      </c>
      <c r="B15" s="186" t="s">
        <v>102</v>
      </c>
      <c r="C15" s="186"/>
      <c r="D15" s="226" t="s">
        <v>103</v>
      </c>
      <c r="E15" s="227"/>
      <c r="F15" s="228"/>
      <c r="G15" s="226" t="s">
        <v>104</v>
      </c>
      <c r="H15" s="227"/>
      <c r="I15" s="228"/>
      <c r="J15" s="226" t="s">
        <v>105</v>
      </c>
      <c r="K15" s="227"/>
      <c r="L15" s="228"/>
      <c r="M15" s="226" t="s">
        <v>106</v>
      </c>
      <c r="N15" s="227"/>
      <c r="O15" s="228"/>
    </row>
    <row r="16" spans="1:18" ht="94.5" customHeight="1" thickBot="1">
      <c r="A16" s="235"/>
      <c r="B16" s="186"/>
      <c r="C16" s="186"/>
      <c r="D16" s="229"/>
      <c r="E16" s="230"/>
      <c r="F16" s="231"/>
      <c r="G16" s="229"/>
      <c r="H16" s="230"/>
      <c r="I16" s="231"/>
      <c r="J16" s="229"/>
      <c r="K16" s="230"/>
      <c r="L16" s="231"/>
      <c r="M16" s="229"/>
      <c r="N16" s="230"/>
      <c r="O16" s="231"/>
    </row>
    <row r="17" spans="1:15" ht="94.5" customHeight="1" thickBot="1">
      <c r="A17" s="235" t="s">
        <v>7</v>
      </c>
      <c r="B17" s="186" t="s">
        <v>107</v>
      </c>
      <c r="C17" s="186"/>
      <c r="D17" s="229"/>
      <c r="E17" s="230"/>
      <c r="F17" s="231"/>
      <c r="G17" s="229"/>
      <c r="H17" s="230"/>
      <c r="I17" s="231"/>
      <c r="J17" s="229"/>
      <c r="K17" s="230"/>
      <c r="L17" s="231"/>
      <c r="M17" s="229"/>
      <c r="N17" s="230"/>
      <c r="O17" s="231"/>
    </row>
    <row r="18" spans="1:15" ht="94.5" customHeight="1" thickBot="1">
      <c r="A18" s="235"/>
      <c r="B18" s="186"/>
      <c r="C18" s="186"/>
      <c r="D18" s="229"/>
      <c r="E18" s="230"/>
      <c r="F18" s="231"/>
      <c r="G18" s="229"/>
      <c r="H18" s="230"/>
      <c r="I18" s="231"/>
      <c r="J18" s="229"/>
      <c r="K18" s="230"/>
      <c r="L18" s="231"/>
      <c r="M18" s="229"/>
      <c r="N18" s="230"/>
      <c r="O18" s="231"/>
    </row>
    <row r="19" spans="1:15" ht="94.5" customHeight="1" thickBot="1">
      <c r="A19" s="235" t="s">
        <v>8</v>
      </c>
      <c r="B19" s="186" t="s">
        <v>108</v>
      </c>
      <c r="C19" s="186"/>
      <c r="D19" s="229"/>
      <c r="E19" s="230"/>
      <c r="F19" s="231"/>
      <c r="G19" s="229"/>
      <c r="H19" s="230"/>
      <c r="I19" s="231"/>
      <c r="J19" s="229"/>
      <c r="K19" s="230"/>
      <c r="L19" s="231"/>
      <c r="M19" s="229"/>
      <c r="N19" s="230"/>
      <c r="O19" s="231"/>
    </row>
    <row r="20" spans="1:15" ht="94.5" customHeight="1" thickBot="1">
      <c r="A20" s="235"/>
      <c r="B20" s="186"/>
      <c r="C20" s="186"/>
      <c r="D20" s="232"/>
      <c r="E20" s="233"/>
      <c r="F20" s="234"/>
      <c r="G20" s="232"/>
      <c r="H20" s="233"/>
      <c r="I20" s="234"/>
      <c r="J20" s="232"/>
      <c r="K20" s="233"/>
      <c r="L20" s="234"/>
      <c r="M20" s="232"/>
      <c r="N20" s="233"/>
      <c r="O20" s="234"/>
    </row>
    <row r="21" spans="1:15" ht="15.75" thickBot="1">
      <c r="A21" s="170" t="s">
        <v>2</v>
      </c>
      <c r="B21" s="204" t="s">
        <v>20</v>
      </c>
      <c r="C21" s="204"/>
      <c r="D21" s="192" t="s">
        <v>21</v>
      </c>
      <c r="E21" s="192"/>
      <c r="F21" s="192"/>
      <c r="G21" s="193" t="s">
        <v>22</v>
      </c>
      <c r="H21" s="193"/>
      <c r="I21" s="193"/>
      <c r="J21" s="205" t="s">
        <v>23</v>
      </c>
      <c r="K21" s="205"/>
      <c r="L21" s="205"/>
      <c r="M21" s="191" t="s">
        <v>24</v>
      </c>
      <c r="N21" s="191"/>
      <c r="O21" s="191"/>
    </row>
    <row r="22" spans="1:15" ht="94.5" customHeight="1" thickBot="1">
      <c r="A22" s="235" t="s">
        <v>9</v>
      </c>
      <c r="B22" s="186" t="s">
        <v>109</v>
      </c>
      <c r="C22" s="186"/>
      <c r="D22" s="226" t="s">
        <v>110</v>
      </c>
      <c r="E22" s="227"/>
      <c r="F22" s="228"/>
      <c r="G22" s="226" t="s">
        <v>111</v>
      </c>
      <c r="H22" s="227"/>
      <c r="I22" s="228"/>
      <c r="J22" s="226" t="s">
        <v>112</v>
      </c>
      <c r="K22" s="227"/>
      <c r="L22" s="228"/>
      <c r="M22" s="226" t="s">
        <v>113</v>
      </c>
      <c r="N22" s="227"/>
      <c r="O22" s="228"/>
    </row>
    <row r="23" spans="1:15" ht="94.5" customHeight="1" thickBot="1">
      <c r="A23" s="235"/>
      <c r="B23" s="186"/>
      <c r="C23" s="186"/>
      <c r="D23" s="229"/>
      <c r="E23" s="230"/>
      <c r="F23" s="231"/>
      <c r="G23" s="229"/>
      <c r="H23" s="230"/>
      <c r="I23" s="231"/>
      <c r="J23" s="229"/>
      <c r="K23" s="230"/>
      <c r="L23" s="231"/>
      <c r="M23" s="229"/>
      <c r="N23" s="230"/>
      <c r="O23" s="231"/>
    </row>
    <row r="24" spans="1:15" ht="147" customHeight="1" thickBot="1">
      <c r="A24" s="235" t="s">
        <v>10</v>
      </c>
      <c r="B24" s="186" t="s">
        <v>114</v>
      </c>
      <c r="C24" s="186"/>
      <c r="D24" s="229"/>
      <c r="E24" s="230"/>
      <c r="F24" s="231"/>
      <c r="G24" s="229"/>
      <c r="H24" s="230"/>
      <c r="I24" s="231"/>
      <c r="J24" s="229"/>
      <c r="K24" s="230"/>
      <c r="L24" s="231"/>
      <c r="M24" s="229"/>
      <c r="N24" s="230"/>
      <c r="O24" s="231"/>
    </row>
    <row r="25" spans="1:15" ht="147" customHeight="1" thickBot="1">
      <c r="A25" s="235"/>
      <c r="B25" s="186"/>
      <c r="C25" s="186"/>
      <c r="D25" s="229"/>
      <c r="E25" s="230"/>
      <c r="F25" s="231"/>
      <c r="G25" s="229"/>
      <c r="H25" s="230"/>
      <c r="I25" s="231"/>
      <c r="J25" s="229"/>
      <c r="K25" s="230"/>
      <c r="L25" s="231"/>
      <c r="M25" s="229"/>
      <c r="N25" s="230"/>
      <c r="O25" s="231"/>
    </row>
    <row r="26" spans="1:15" ht="176.25" customHeight="1" thickBot="1">
      <c r="A26" s="235" t="s">
        <v>11</v>
      </c>
      <c r="B26" s="186" t="s">
        <v>115</v>
      </c>
      <c r="C26" s="186"/>
      <c r="D26" s="229"/>
      <c r="E26" s="230"/>
      <c r="F26" s="231"/>
      <c r="G26" s="229"/>
      <c r="H26" s="230"/>
      <c r="I26" s="231"/>
      <c r="J26" s="229"/>
      <c r="K26" s="230"/>
      <c r="L26" s="231"/>
      <c r="M26" s="229"/>
      <c r="N26" s="230"/>
      <c r="O26" s="231"/>
    </row>
    <row r="27" spans="1:15" ht="176.25" customHeight="1" thickBot="1">
      <c r="A27" s="235"/>
      <c r="B27" s="186"/>
      <c r="C27" s="186"/>
      <c r="D27" s="232"/>
      <c r="E27" s="233"/>
      <c r="F27" s="234"/>
      <c r="G27" s="232"/>
      <c r="H27" s="233"/>
      <c r="I27" s="234"/>
      <c r="J27" s="232"/>
      <c r="K27" s="233"/>
      <c r="L27" s="234"/>
      <c r="M27" s="232"/>
      <c r="N27" s="233"/>
      <c r="O27" s="234"/>
    </row>
    <row r="28" spans="1:15" ht="15.75" thickBot="1">
      <c r="A28" s="170" t="s">
        <v>2</v>
      </c>
      <c r="B28" s="204" t="s">
        <v>20</v>
      </c>
      <c r="C28" s="204"/>
      <c r="D28" s="192" t="s">
        <v>21</v>
      </c>
      <c r="E28" s="192"/>
      <c r="F28" s="192"/>
      <c r="G28" s="193" t="s">
        <v>22</v>
      </c>
      <c r="H28" s="193"/>
      <c r="I28" s="193"/>
      <c r="J28" s="205" t="s">
        <v>23</v>
      </c>
      <c r="K28" s="205"/>
      <c r="L28" s="205"/>
      <c r="M28" s="191" t="s">
        <v>24</v>
      </c>
      <c r="N28" s="191"/>
      <c r="O28" s="191"/>
    </row>
    <row r="29" spans="1:15" ht="94.5" customHeight="1" thickBot="1">
      <c r="A29" s="235" t="s">
        <v>12</v>
      </c>
      <c r="B29" s="186"/>
      <c r="C29" s="186"/>
      <c r="D29" s="225"/>
      <c r="E29" s="225"/>
      <c r="F29" s="225"/>
      <c r="G29" s="225"/>
      <c r="H29" s="225"/>
      <c r="I29" s="225"/>
      <c r="J29" s="225"/>
      <c r="K29" s="225"/>
      <c r="L29" s="225"/>
      <c r="M29" s="225"/>
      <c r="N29" s="225"/>
      <c r="O29" s="225"/>
    </row>
    <row r="30" spans="1:15" ht="94.5" customHeight="1" thickBot="1">
      <c r="A30" s="235"/>
      <c r="B30" s="186"/>
      <c r="C30" s="186"/>
      <c r="D30" s="225"/>
      <c r="E30" s="225"/>
      <c r="F30" s="225"/>
      <c r="G30" s="225"/>
      <c r="H30" s="225"/>
      <c r="I30" s="225"/>
      <c r="J30" s="225"/>
      <c r="K30" s="225"/>
      <c r="L30" s="225"/>
      <c r="M30" s="225"/>
      <c r="N30" s="225"/>
      <c r="O30" s="225"/>
    </row>
    <row r="31" spans="1:15" ht="94.5" customHeight="1" thickBot="1">
      <c r="A31" s="235" t="s">
        <v>13</v>
      </c>
      <c r="B31" s="186"/>
      <c r="C31" s="186"/>
      <c r="D31" s="225"/>
      <c r="E31" s="225"/>
      <c r="F31" s="225"/>
      <c r="G31" s="225"/>
      <c r="H31" s="225"/>
      <c r="I31" s="225"/>
      <c r="J31" s="225"/>
      <c r="K31" s="225"/>
      <c r="L31" s="225"/>
      <c r="M31" s="225"/>
      <c r="N31" s="225"/>
      <c r="O31" s="225"/>
    </row>
    <row r="32" spans="1:15" ht="94.5" customHeight="1" thickBot="1">
      <c r="A32" s="235"/>
      <c r="B32" s="186"/>
      <c r="C32" s="186"/>
      <c r="D32" s="225"/>
      <c r="E32" s="225"/>
      <c r="F32" s="225"/>
      <c r="G32" s="225"/>
      <c r="H32" s="225"/>
      <c r="I32" s="225"/>
      <c r="J32" s="225"/>
      <c r="K32" s="225"/>
      <c r="L32" s="225"/>
      <c r="M32" s="225"/>
      <c r="N32" s="225"/>
      <c r="O32" s="225"/>
    </row>
    <row r="33" spans="1:15" ht="94.5" customHeight="1" thickBot="1">
      <c r="A33" s="235" t="s">
        <v>14</v>
      </c>
      <c r="B33" s="186"/>
      <c r="C33" s="186"/>
      <c r="D33" s="225"/>
      <c r="E33" s="225"/>
      <c r="F33" s="225"/>
      <c r="G33" s="225"/>
      <c r="H33" s="225"/>
      <c r="I33" s="225"/>
      <c r="J33" s="225"/>
      <c r="K33" s="225"/>
      <c r="L33" s="225"/>
      <c r="M33" s="225"/>
      <c r="N33" s="225"/>
      <c r="O33" s="225"/>
    </row>
    <row r="34" spans="1:15" ht="15.75" thickBot="1">
      <c r="A34" s="235"/>
      <c r="B34" s="186"/>
      <c r="C34" s="186"/>
      <c r="D34" s="225"/>
      <c r="E34" s="225"/>
      <c r="F34" s="225"/>
      <c r="G34" s="225"/>
      <c r="H34" s="225"/>
      <c r="I34" s="225"/>
      <c r="J34" s="225"/>
      <c r="K34" s="225"/>
      <c r="L34" s="225"/>
      <c r="M34" s="225"/>
      <c r="N34" s="225"/>
      <c r="O34" s="225"/>
    </row>
  </sheetData>
  <mergeCells count="75">
    <mergeCell ref="A15:A16"/>
    <mergeCell ref="B15:C16"/>
    <mergeCell ref="C1:O1"/>
    <mergeCell ref="C6:O6"/>
    <mergeCell ref="B8:C9"/>
    <mergeCell ref="B10:C11"/>
    <mergeCell ref="B12:C13"/>
    <mergeCell ref="G7:I7"/>
    <mergeCell ref="A3:B3"/>
    <mergeCell ref="A4:B4"/>
    <mergeCell ref="A5:B5"/>
    <mergeCell ref="A6:B6"/>
    <mergeCell ref="A1:B2"/>
    <mergeCell ref="A10:A11"/>
    <mergeCell ref="A12:A13"/>
    <mergeCell ref="M7:O7"/>
    <mergeCell ref="J7:L7"/>
    <mergeCell ref="M8:O13"/>
    <mergeCell ref="M14:O14"/>
    <mergeCell ref="A8:A9"/>
    <mergeCell ref="B7:C7"/>
    <mergeCell ref="D7:F7"/>
    <mergeCell ref="B14:C14"/>
    <mergeCell ref="A19:A20"/>
    <mergeCell ref="A22:A23"/>
    <mergeCell ref="A26:A27"/>
    <mergeCell ref="B17:C18"/>
    <mergeCell ref="B19:C20"/>
    <mergeCell ref="B22:C23"/>
    <mergeCell ref="B24:C25"/>
    <mergeCell ref="B26:C27"/>
    <mergeCell ref="B21:C21"/>
    <mergeCell ref="A24:A25"/>
    <mergeCell ref="A17:A18"/>
    <mergeCell ref="M21:O21"/>
    <mergeCell ref="M15:O20"/>
    <mergeCell ref="M22:O27"/>
    <mergeCell ref="D21:F21"/>
    <mergeCell ref="G21:I21"/>
    <mergeCell ref="J21:L21"/>
    <mergeCell ref="M33:O34"/>
    <mergeCell ref="G29:I30"/>
    <mergeCell ref="J29:L30"/>
    <mergeCell ref="M29:O30"/>
    <mergeCell ref="A31:A32"/>
    <mergeCell ref="B31:C32"/>
    <mergeCell ref="D31:F32"/>
    <mergeCell ref="G31:I32"/>
    <mergeCell ref="J31:L32"/>
    <mergeCell ref="M31:O32"/>
    <mergeCell ref="A29:A30"/>
    <mergeCell ref="B29:C30"/>
    <mergeCell ref="D29:F30"/>
    <mergeCell ref="A33:A34"/>
    <mergeCell ref="B33:C34"/>
    <mergeCell ref="D33:F34"/>
    <mergeCell ref="G33:I34"/>
    <mergeCell ref="J33:L34"/>
    <mergeCell ref="D22:F27"/>
    <mergeCell ref="D8:F13"/>
    <mergeCell ref="G8:I13"/>
    <mergeCell ref="J8:L13"/>
    <mergeCell ref="J15:L20"/>
    <mergeCell ref="D15:F20"/>
    <mergeCell ref="G15:I20"/>
    <mergeCell ref="D14:F14"/>
    <mergeCell ref="G14:I14"/>
    <mergeCell ref="J14:L14"/>
    <mergeCell ref="G22:I27"/>
    <mergeCell ref="J22:L27"/>
    <mergeCell ref="B28:C28"/>
    <mergeCell ref="D28:F28"/>
    <mergeCell ref="G28:I28"/>
    <mergeCell ref="J28:L28"/>
    <mergeCell ref="M28:O28"/>
  </mergeCells>
  <phoneticPr fontId="15" type="noConversion"/>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BEADF-9D83-4E40-8FF8-193BD64027D1}">
  <sheetPr>
    <tabColor theme="2" tint="-0.749992370372631"/>
  </sheetPr>
  <dimension ref="A1:R20"/>
  <sheetViews>
    <sheetView topLeftCell="B1" workbookViewId="0">
      <selection activeCell="B15" sqref="B15:C15"/>
    </sheetView>
  </sheetViews>
  <sheetFormatPr defaultRowHeight="15"/>
  <cols>
    <col min="1" max="1" width="17.28515625" style="7" customWidth="1"/>
    <col min="2" max="2" width="62.85546875" customWidth="1"/>
    <col min="3" max="3" width="24.7109375" customWidth="1"/>
    <col min="4" max="15" width="13.28515625" customWidth="1"/>
  </cols>
  <sheetData>
    <row r="1" spans="1:18" ht="15.75" thickBot="1">
      <c r="A1" s="240" t="s">
        <v>116</v>
      </c>
      <c r="B1" s="241"/>
      <c r="C1" s="252">
        <v>2025</v>
      </c>
      <c r="D1" s="253"/>
      <c r="E1" s="253"/>
      <c r="F1" s="253"/>
      <c r="G1" s="253"/>
      <c r="H1" s="253"/>
      <c r="I1" s="253"/>
      <c r="J1" s="253"/>
      <c r="K1" s="253"/>
      <c r="L1" s="253"/>
      <c r="M1" s="253"/>
      <c r="N1" s="253"/>
      <c r="O1" s="253"/>
      <c r="P1" s="1"/>
      <c r="Q1" s="1"/>
      <c r="R1" s="1"/>
    </row>
    <row r="2" spans="1:18" ht="23.25" customHeight="1" thickTop="1" thickBot="1">
      <c r="A2" s="240"/>
      <c r="B2" s="241"/>
      <c r="C2" s="73">
        <f>C4/C5</f>
        <v>0</v>
      </c>
      <c r="D2" s="73">
        <f t="shared" ref="D2:K2" si="0">D4/D5</f>
        <v>0</v>
      </c>
      <c r="E2" s="73">
        <f t="shared" si="0"/>
        <v>0</v>
      </c>
      <c r="F2" s="73">
        <f t="shared" si="0"/>
        <v>0</v>
      </c>
      <c r="G2" s="73">
        <f t="shared" si="0"/>
        <v>0</v>
      </c>
      <c r="H2" s="73">
        <f t="shared" si="0"/>
        <v>0</v>
      </c>
      <c r="I2" s="73">
        <f t="shared" si="0"/>
        <v>0</v>
      </c>
      <c r="J2" s="74">
        <f t="shared" si="0"/>
        <v>5.8139534883720929E-4</v>
      </c>
      <c r="K2" s="74">
        <f t="shared" si="0"/>
        <v>5.4854635216675812E-4</v>
      </c>
      <c r="L2" s="73"/>
      <c r="M2" s="73"/>
      <c r="N2" s="73"/>
      <c r="O2" s="75">
        <f>MEDIAN(C2:N2)</f>
        <v>0</v>
      </c>
      <c r="P2" s="1"/>
      <c r="Q2" s="1"/>
      <c r="R2" s="1"/>
    </row>
    <row r="3" spans="1:18" ht="16.5" thickTop="1" thickBot="1">
      <c r="A3" s="257" t="s">
        <v>2</v>
      </c>
      <c r="B3" s="258"/>
      <c r="C3" s="4" t="s">
        <v>3</v>
      </c>
      <c r="D3" s="4" t="s">
        <v>4</v>
      </c>
      <c r="E3" s="4" t="s">
        <v>5</v>
      </c>
      <c r="F3" s="4" t="s">
        <v>6</v>
      </c>
      <c r="G3" s="4" t="s">
        <v>7</v>
      </c>
      <c r="H3" s="4" t="s">
        <v>8</v>
      </c>
      <c r="I3" s="4" t="s">
        <v>9</v>
      </c>
      <c r="J3" s="4" t="s">
        <v>10</v>
      </c>
      <c r="K3" s="4" t="s">
        <v>11</v>
      </c>
      <c r="L3" s="4" t="s">
        <v>12</v>
      </c>
      <c r="M3" s="4" t="s">
        <v>13</v>
      </c>
      <c r="N3" s="4" t="s">
        <v>14</v>
      </c>
      <c r="O3" s="32" t="s">
        <v>91</v>
      </c>
      <c r="P3" s="1"/>
      <c r="Q3" s="1"/>
      <c r="R3" s="1"/>
    </row>
    <row r="4" spans="1:18" ht="31.5" customHeight="1" thickTop="1" thickBot="1">
      <c r="A4" s="259" t="s">
        <v>117</v>
      </c>
      <c r="B4" s="260"/>
      <c r="C4" s="33">
        <v>0</v>
      </c>
      <c r="D4" s="5">
        <v>0</v>
      </c>
      <c r="E4" s="5">
        <v>0</v>
      </c>
      <c r="F4" s="5">
        <v>0</v>
      </c>
      <c r="G4" s="5">
        <v>0</v>
      </c>
      <c r="H4" s="5">
        <v>0</v>
      </c>
      <c r="I4" s="5">
        <v>0</v>
      </c>
      <c r="J4" s="5">
        <v>1</v>
      </c>
      <c r="K4" s="5">
        <v>1</v>
      </c>
      <c r="L4" s="29"/>
      <c r="M4" s="29"/>
      <c r="N4" s="29"/>
      <c r="O4" s="71">
        <f>+MEDIAN(C4:N4)</f>
        <v>0</v>
      </c>
      <c r="P4" s="1"/>
      <c r="Q4" s="1"/>
      <c r="R4" s="1"/>
    </row>
    <row r="5" spans="1:18" ht="30" customHeight="1" thickTop="1" thickBot="1">
      <c r="A5" s="261" t="s">
        <v>118</v>
      </c>
      <c r="B5" s="262"/>
      <c r="C5" s="9">
        <v>1472</v>
      </c>
      <c r="D5" s="6">
        <v>1535</v>
      </c>
      <c r="E5" s="6">
        <v>1533</v>
      </c>
      <c r="F5" s="6">
        <v>1622</v>
      </c>
      <c r="G5" s="6">
        <v>1607</v>
      </c>
      <c r="H5" s="6">
        <v>1530</v>
      </c>
      <c r="I5" s="6">
        <v>1781</v>
      </c>
      <c r="J5" s="6">
        <v>1720</v>
      </c>
      <c r="K5" s="6">
        <v>1823</v>
      </c>
      <c r="L5" s="6">
        <v>0</v>
      </c>
      <c r="M5" s="6">
        <v>0</v>
      </c>
      <c r="N5" s="6">
        <v>0</v>
      </c>
      <c r="O5" s="70">
        <f>MEDIAN(C5:N5)</f>
        <v>1534</v>
      </c>
      <c r="P5" s="1"/>
      <c r="Q5" s="1"/>
      <c r="R5" s="1"/>
    </row>
    <row r="6" spans="1:18" ht="16.5" thickTop="1" thickBot="1">
      <c r="A6" s="263" t="s">
        <v>61</v>
      </c>
      <c r="B6" s="264"/>
      <c r="C6" s="254" t="s">
        <v>119</v>
      </c>
      <c r="D6" s="255"/>
      <c r="E6" s="255"/>
      <c r="F6" s="255"/>
      <c r="G6" s="255"/>
      <c r="H6" s="255"/>
      <c r="I6" s="255"/>
      <c r="J6" s="255"/>
      <c r="K6" s="255"/>
      <c r="L6" s="255"/>
      <c r="M6" s="255"/>
      <c r="N6" s="255"/>
      <c r="O6" s="256"/>
      <c r="P6" s="1"/>
      <c r="Q6" s="1"/>
      <c r="R6" s="1"/>
    </row>
    <row r="7" spans="1:18" ht="15.75" thickBot="1">
      <c r="A7" s="170" t="s">
        <v>2</v>
      </c>
      <c r="B7" s="204" t="s">
        <v>20</v>
      </c>
      <c r="C7" s="204"/>
      <c r="D7" s="192" t="s">
        <v>21</v>
      </c>
      <c r="E7" s="192"/>
      <c r="F7" s="192"/>
      <c r="G7" s="193" t="s">
        <v>22</v>
      </c>
      <c r="H7" s="193"/>
      <c r="I7" s="193"/>
      <c r="J7" s="205" t="s">
        <v>23</v>
      </c>
      <c r="K7" s="205"/>
      <c r="L7" s="205"/>
      <c r="M7" s="191" t="s">
        <v>24</v>
      </c>
      <c r="N7" s="191"/>
      <c r="O7" s="191"/>
    </row>
    <row r="8" spans="1:18" ht="15.75" thickBot="1">
      <c r="A8" s="7" t="s">
        <v>3</v>
      </c>
      <c r="B8" s="246" t="s">
        <v>120</v>
      </c>
      <c r="C8" s="246"/>
      <c r="D8" s="246"/>
      <c r="E8" s="246"/>
      <c r="F8" s="246"/>
      <c r="G8" s="246"/>
      <c r="H8" s="246"/>
      <c r="I8" s="246"/>
      <c r="J8" s="246"/>
      <c r="K8" s="246"/>
      <c r="L8" s="246"/>
      <c r="M8" s="246"/>
      <c r="N8" s="246"/>
      <c r="O8" s="246"/>
    </row>
    <row r="9" spans="1:18" ht="15.75" thickBot="1">
      <c r="A9" s="7" t="s">
        <v>4</v>
      </c>
      <c r="B9" s="246" t="s">
        <v>120</v>
      </c>
      <c r="C9" s="246"/>
      <c r="D9" s="246"/>
      <c r="E9" s="246"/>
      <c r="F9" s="246"/>
      <c r="G9" s="246"/>
      <c r="H9" s="246"/>
      <c r="I9" s="246"/>
      <c r="J9" s="246"/>
      <c r="K9" s="246"/>
      <c r="L9" s="246"/>
      <c r="M9" s="246"/>
      <c r="N9" s="246"/>
      <c r="O9" s="246"/>
    </row>
    <row r="10" spans="1:18" ht="15.75" thickBot="1">
      <c r="A10" s="7" t="s">
        <v>5</v>
      </c>
      <c r="B10" s="246" t="s">
        <v>120</v>
      </c>
      <c r="C10" s="246"/>
      <c r="D10" s="246"/>
      <c r="E10" s="246"/>
      <c r="F10" s="246"/>
      <c r="G10" s="246"/>
      <c r="H10" s="246"/>
      <c r="I10" s="246"/>
      <c r="J10" s="246"/>
      <c r="K10" s="246"/>
      <c r="L10" s="246"/>
      <c r="M10" s="246"/>
      <c r="N10" s="246"/>
      <c r="O10" s="246"/>
    </row>
    <row r="11" spans="1:18" ht="15.75" thickBot="1">
      <c r="A11" s="7" t="s">
        <v>6</v>
      </c>
      <c r="B11" s="246" t="s">
        <v>120</v>
      </c>
      <c r="C11" s="246"/>
      <c r="D11" s="246"/>
      <c r="E11" s="246"/>
      <c r="F11" s="246"/>
      <c r="G11" s="246"/>
      <c r="H11" s="246"/>
      <c r="I11" s="246"/>
      <c r="J11" s="246"/>
      <c r="K11" s="246"/>
      <c r="L11" s="246"/>
      <c r="M11" s="246"/>
      <c r="N11" s="246"/>
      <c r="O11" s="246"/>
    </row>
    <row r="12" spans="1:18" ht="15.75" thickBot="1">
      <c r="A12" s="7" t="s">
        <v>7</v>
      </c>
      <c r="B12" s="246" t="s">
        <v>120</v>
      </c>
      <c r="C12" s="246"/>
      <c r="D12" s="246"/>
      <c r="E12" s="246"/>
      <c r="F12" s="246"/>
      <c r="G12" s="246"/>
      <c r="H12" s="246"/>
      <c r="I12" s="246"/>
      <c r="J12" s="246"/>
      <c r="K12" s="246"/>
      <c r="L12" s="246"/>
      <c r="M12" s="246"/>
      <c r="N12" s="246"/>
      <c r="O12" s="246"/>
    </row>
    <row r="13" spans="1:18" ht="15.75" thickBot="1">
      <c r="A13" s="7" t="s">
        <v>8</v>
      </c>
      <c r="B13" s="246" t="s">
        <v>120</v>
      </c>
      <c r="C13" s="246"/>
      <c r="D13" s="246"/>
      <c r="E13" s="246"/>
      <c r="F13" s="246"/>
      <c r="G13" s="246"/>
      <c r="H13" s="246"/>
      <c r="I13" s="246"/>
      <c r="J13" s="246"/>
      <c r="K13" s="246"/>
      <c r="L13" s="246"/>
      <c r="M13" s="246"/>
      <c r="N13" s="246"/>
      <c r="O13" s="246"/>
    </row>
    <row r="14" spans="1:18" ht="15.75" thickBot="1">
      <c r="A14" s="170" t="s">
        <v>2</v>
      </c>
      <c r="B14" s="204" t="s">
        <v>20</v>
      </c>
      <c r="C14" s="204"/>
      <c r="D14" s="192" t="s">
        <v>21</v>
      </c>
      <c r="E14" s="192"/>
      <c r="F14" s="192"/>
      <c r="G14" s="193" t="s">
        <v>22</v>
      </c>
      <c r="H14" s="193"/>
      <c r="I14" s="193"/>
      <c r="J14" s="205" t="s">
        <v>23</v>
      </c>
      <c r="K14" s="205"/>
      <c r="L14" s="205"/>
      <c r="M14" s="191" t="s">
        <v>24</v>
      </c>
      <c r="N14" s="191"/>
      <c r="O14" s="191"/>
    </row>
    <row r="15" spans="1:18" s="7" customFormat="1" ht="24.75" customHeight="1" thickBot="1">
      <c r="A15" s="7" t="s">
        <v>9</v>
      </c>
      <c r="B15" s="249" t="s">
        <v>121</v>
      </c>
      <c r="C15" s="249"/>
      <c r="D15" s="249"/>
      <c r="E15" s="249"/>
      <c r="F15" s="249"/>
      <c r="G15" s="249"/>
      <c r="H15" s="249"/>
      <c r="I15" s="249"/>
      <c r="J15" s="249"/>
      <c r="K15" s="249"/>
      <c r="L15" s="249"/>
      <c r="M15" s="249"/>
      <c r="N15" s="249"/>
      <c r="O15" s="249"/>
    </row>
    <row r="16" spans="1:18" ht="228.75" customHeight="1" thickBot="1">
      <c r="A16" s="7" t="s">
        <v>10</v>
      </c>
      <c r="B16" s="250" t="s">
        <v>122</v>
      </c>
      <c r="C16" s="251"/>
      <c r="D16" s="246"/>
      <c r="E16" s="246"/>
      <c r="F16" s="246"/>
      <c r="G16" s="246"/>
      <c r="H16" s="246"/>
      <c r="I16" s="246"/>
      <c r="J16" s="246"/>
      <c r="K16" s="246"/>
      <c r="L16" s="246"/>
      <c r="M16" s="246"/>
      <c r="N16" s="246"/>
      <c r="O16" s="246"/>
    </row>
    <row r="17" spans="1:15" ht="302.25" customHeight="1" thickBot="1">
      <c r="A17" s="7" t="s">
        <v>11</v>
      </c>
      <c r="B17" s="247" t="s">
        <v>123</v>
      </c>
      <c r="C17" s="248"/>
      <c r="D17" s="246"/>
      <c r="E17" s="246"/>
      <c r="F17" s="246"/>
      <c r="G17" s="246"/>
      <c r="H17" s="246"/>
      <c r="I17" s="246"/>
      <c r="J17" s="246"/>
      <c r="K17" s="246"/>
      <c r="L17" s="246"/>
      <c r="M17" s="246"/>
      <c r="N17" s="246"/>
      <c r="O17" s="246"/>
    </row>
    <row r="18" spans="1:15" ht="302.25" customHeight="1" thickBot="1">
      <c r="A18" s="7" t="s">
        <v>12</v>
      </c>
      <c r="B18" s="246"/>
      <c r="C18" s="246"/>
      <c r="D18" s="246"/>
      <c r="E18" s="246"/>
      <c r="F18" s="246"/>
      <c r="G18" s="246"/>
      <c r="H18" s="246"/>
      <c r="I18" s="246"/>
      <c r="J18" s="246"/>
      <c r="K18" s="246"/>
      <c r="L18" s="246"/>
      <c r="M18" s="246"/>
      <c r="N18" s="246"/>
      <c r="O18" s="246"/>
    </row>
    <row r="19" spans="1:15" ht="302.25" customHeight="1" thickBot="1">
      <c r="A19" s="7" t="s">
        <v>13</v>
      </c>
      <c r="B19" s="246"/>
      <c r="C19" s="246"/>
      <c r="D19" s="246"/>
      <c r="E19" s="246"/>
      <c r="F19" s="246"/>
      <c r="G19" s="246"/>
      <c r="H19" s="246"/>
      <c r="I19" s="246"/>
      <c r="J19" s="246"/>
      <c r="K19" s="246"/>
      <c r="L19" s="246"/>
      <c r="M19" s="246"/>
      <c r="N19" s="246"/>
      <c r="O19" s="246"/>
    </row>
    <row r="20" spans="1:15" ht="302.25" customHeight="1">
      <c r="A20" s="7" t="s">
        <v>14</v>
      </c>
      <c r="B20" s="246"/>
      <c r="C20" s="246"/>
      <c r="D20" s="246"/>
      <c r="E20" s="246"/>
      <c r="F20" s="246"/>
      <c r="G20" s="246"/>
      <c r="H20" s="246"/>
      <c r="I20" s="246"/>
      <c r="J20" s="246"/>
      <c r="K20" s="246"/>
      <c r="L20" s="246"/>
      <c r="M20" s="246"/>
      <c r="N20" s="246"/>
      <c r="O20" s="246"/>
    </row>
  </sheetData>
  <mergeCells count="77">
    <mergeCell ref="C1:O1"/>
    <mergeCell ref="A1:B2"/>
    <mergeCell ref="C6:O6"/>
    <mergeCell ref="A3:B3"/>
    <mergeCell ref="A4:B4"/>
    <mergeCell ref="A5:B5"/>
    <mergeCell ref="A6:B6"/>
    <mergeCell ref="M13:O13"/>
    <mergeCell ref="B7:C7"/>
    <mergeCell ref="D7:F7"/>
    <mergeCell ref="G7:I7"/>
    <mergeCell ref="J7:L7"/>
    <mergeCell ref="M7:O7"/>
    <mergeCell ref="B13:C13"/>
    <mergeCell ref="D13:F13"/>
    <mergeCell ref="G13:I13"/>
    <mergeCell ref="J13:L13"/>
    <mergeCell ref="M8:O8"/>
    <mergeCell ref="B9:C9"/>
    <mergeCell ref="D9:F9"/>
    <mergeCell ref="G9:I9"/>
    <mergeCell ref="J9:L9"/>
    <mergeCell ref="M9:O9"/>
    <mergeCell ref="B8:C8"/>
    <mergeCell ref="D8:F8"/>
    <mergeCell ref="G8:I8"/>
    <mergeCell ref="J8:L8"/>
    <mergeCell ref="M12:O12"/>
    <mergeCell ref="B10:C10"/>
    <mergeCell ref="D10:F10"/>
    <mergeCell ref="G10:I10"/>
    <mergeCell ref="J10:L10"/>
    <mergeCell ref="M10:O10"/>
    <mergeCell ref="B11:C11"/>
    <mergeCell ref="D11:F11"/>
    <mergeCell ref="G11:I11"/>
    <mergeCell ref="J11:L11"/>
    <mergeCell ref="M11:O11"/>
    <mergeCell ref="B12:C12"/>
    <mergeCell ref="D12:F12"/>
    <mergeCell ref="G12:I12"/>
    <mergeCell ref="J12:L12"/>
    <mergeCell ref="B15:C15"/>
    <mergeCell ref="D15:F15"/>
    <mergeCell ref="G15:I15"/>
    <mergeCell ref="J15:L15"/>
    <mergeCell ref="B14:C14"/>
    <mergeCell ref="D14:F14"/>
    <mergeCell ref="G14:I14"/>
    <mergeCell ref="J14:L14"/>
    <mergeCell ref="M15:O15"/>
    <mergeCell ref="B16:C16"/>
    <mergeCell ref="D16:F16"/>
    <mergeCell ref="G16:I16"/>
    <mergeCell ref="J16:L16"/>
    <mergeCell ref="M16:O16"/>
    <mergeCell ref="B17:C17"/>
    <mergeCell ref="D17:F17"/>
    <mergeCell ref="G17:I17"/>
    <mergeCell ref="J17:L17"/>
    <mergeCell ref="M17:O17"/>
    <mergeCell ref="M14:O14"/>
    <mergeCell ref="B20:C20"/>
    <mergeCell ref="D20:F20"/>
    <mergeCell ref="G20:I20"/>
    <mergeCell ref="J20:L20"/>
    <mergeCell ref="M20:O20"/>
    <mergeCell ref="B19:C19"/>
    <mergeCell ref="D19:F19"/>
    <mergeCell ref="G19:I19"/>
    <mergeCell ref="J19:L19"/>
    <mergeCell ref="M19:O19"/>
    <mergeCell ref="B18:C18"/>
    <mergeCell ref="D18:F18"/>
    <mergeCell ref="G18:I18"/>
    <mergeCell ref="J18:L18"/>
    <mergeCell ref="M18:O18"/>
  </mergeCells>
  <phoneticPr fontId="15" type="noConversion"/>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99941-8E3B-43F8-8DB1-2B452CFFAC14}">
  <sheetPr>
    <tabColor theme="8"/>
  </sheetPr>
  <dimension ref="A1:R8"/>
  <sheetViews>
    <sheetView topLeftCell="A2" workbookViewId="0">
      <selection activeCell="M8" sqref="M8:O8"/>
    </sheetView>
  </sheetViews>
  <sheetFormatPr defaultRowHeight="15"/>
  <cols>
    <col min="1" max="1" width="18" customWidth="1"/>
    <col min="2" max="2" width="54.5703125" customWidth="1"/>
    <col min="3" max="3" width="24.7109375" customWidth="1"/>
    <col min="4" max="15" width="12.5703125" customWidth="1"/>
  </cols>
  <sheetData>
    <row r="1" spans="1:18" s="35" customFormat="1" ht="19.5" thickBot="1">
      <c r="A1" s="240" t="s">
        <v>124</v>
      </c>
      <c r="B1" s="241"/>
      <c r="C1" s="265">
        <v>2025</v>
      </c>
      <c r="D1" s="266"/>
      <c r="E1" s="266"/>
      <c r="F1" s="266"/>
      <c r="G1" s="266"/>
      <c r="H1" s="266"/>
      <c r="I1" s="266"/>
      <c r="J1" s="266"/>
      <c r="K1" s="266"/>
      <c r="L1" s="266"/>
      <c r="M1" s="266"/>
      <c r="N1" s="266"/>
      <c r="O1" s="266"/>
      <c r="P1" s="34"/>
      <c r="Q1" s="34"/>
      <c r="R1" s="34"/>
    </row>
    <row r="2" spans="1:18" ht="28.5" customHeight="1" thickTop="1" thickBot="1">
      <c r="A2" s="240"/>
      <c r="B2" s="241"/>
      <c r="C2" s="2">
        <v>0</v>
      </c>
      <c r="D2" s="2">
        <v>0</v>
      </c>
      <c r="E2" s="2">
        <v>0</v>
      </c>
      <c r="F2" s="2">
        <v>0</v>
      </c>
      <c r="G2" s="2">
        <v>0</v>
      </c>
      <c r="H2" s="2">
        <v>0</v>
      </c>
      <c r="I2" s="2">
        <v>0</v>
      </c>
      <c r="J2" s="2">
        <v>0</v>
      </c>
      <c r="K2" s="72">
        <v>1E-3</v>
      </c>
      <c r="L2" s="3"/>
      <c r="M2" s="3"/>
      <c r="N2" s="3"/>
      <c r="O2" s="77">
        <f>MEDIAN(C2:N2)</f>
        <v>0</v>
      </c>
      <c r="P2" s="1"/>
      <c r="Q2" s="1"/>
      <c r="R2" s="1"/>
    </row>
    <row r="3" spans="1:18" ht="16.5" thickTop="1" thickBot="1">
      <c r="A3" s="267" t="s">
        <v>2</v>
      </c>
      <c r="B3" s="268"/>
      <c r="C3" s="4" t="s">
        <v>3</v>
      </c>
      <c r="D3" s="4" t="s">
        <v>4</v>
      </c>
      <c r="E3" s="4" t="s">
        <v>5</v>
      </c>
      <c r="F3" s="4" t="s">
        <v>6</v>
      </c>
      <c r="G3" s="4" t="s">
        <v>7</v>
      </c>
      <c r="H3" s="4" t="s">
        <v>8</v>
      </c>
      <c r="I3" s="4" t="s">
        <v>9</v>
      </c>
      <c r="J3" s="4" t="s">
        <v>10</v>
      </c>
      <c r="K3" s="4" t="s">
        <v>11</v>
      </c>
      <c r="L3" s="4" t="s">
        <v>12</v>
      </c>
      <c r="M3" s="4" t="s">
        <v>13</v>
      </c>
      <c r="N3" s="4" t="s">
        <v>14</v>
      </c>
      <c r="O3" s="30" t="s">
        <v>125</v>
      </c>
      <c r="P3" s="1"/>
      <c r="Q3" s="1"/>
      <c r="R3" s="1"/>
    </row>
    <row r="4" spans="1:18" ht="31.5" customHeight="1" thickTop="1" thickBot="1">
      <c r="A4" s="242" t="s">
        <v>126</v>
      </c>
      <c r="B4" s="243"/>
      <c r="C4" s="5">
        <v>0</v>
      </c>
      <c r="D4" s="5">
        <v>0</v>
      </c>
      <c r="E4" s="5">
        <v>0</v>
      </c>
      <c r="F4" s="5">
        <v>0</v>
      </c>
      <c r="G4" s="5">
        <v>0</v>
      </c>
      <c r="H4" s="5">
        <v>0</v>
      </c>
      <c r="I4" s="5">
        <v>0</v>
      </c>
      <c r="J4" s="5">
        <v>0</v>
      </c>
      <c r="K4" s="5">
        <v>1</v>
      </c>
      <c r="L4" s="29"/>
      <c r="M4" s="29"/>
      <c r="N4" s="29"/>
      <c r="O4" s="31">
        <f>MEDIAN(C4:N4)</f>
        <v>0</v>
      </c>
      <c r="P4" s="1"/>
      <c r="Q4" s="1"/>
      <c r="R4" s="1"/>
    </row>
    <row r="5" spans="1:18" ht="31.5" customHeight="1" thickTop="1" thickBot="1">
      <c r="A5" s="242" t="s">
        <v>127</v>
      </c>
      <c r="B5" s="243"/>
      <c r="C5" s="6">
        <v>1472</v>
      </c>
      <c r="D5" s="6">
        <v>1535</v>
      </c>
      <c r="E5" s="6">
        <v>1533</v>
      </c>
      <c r="F5" s="6">
        <v>1622</v>
      </c>
      <c r="G5" s="6">
        <v>1607</v>
      </c>
      <c r="H5" s="6">
        <v>1530</v>
      </c>
      <c r="I5" s="6">
        <v>1781</v>
      </c>
      <c r="J5" s="6">
        <v>1720</v>
      </c>
      <c r="K5" s="6">
        <v>1823</v>
      </c>
      <c r="L5" s="6">
        <v>0</v>
      </c>
      <c r="M5" s="6">
        <v>0</v>
      </c>
      <c r="N5" s="6">
        <v>0</v>
      </c>
      <c r="O5" s="31">
        <f>MEDIAN(C5:N5)</f>
        <v>1534</v>
      </c>
      <c r="P5" s="1"/>
      <c r="Q5" s="1"/>
      <c r="R5" s="1"/>
    </row>
    <row r="6" spans="1:18" ht="16.5" thickTop="1" thickBot="1">
      <c r="A6" s="269" t="s">
        <v>61</v>
      </c>
      <c r="B6" s="270"/>
      <c r="C6" s="271" t="s">
        <v>62</v>
      </c>
      <c r="D6" s="272"/>
      <c r="E6" s="272"/>
      <c r="F6" s="272"/>
      <c r="G6" s="272"/>
      <c r="H6" s="272"/>
      <c r="I6" s="272"/>
      <c r="J6" s="272"/>
      <c r="K6" s="272"/>
      <c r="L6" s="272"/>
      <c r="M6" s="272"/>
      <c r="N6" s="272"/>
      <c r="O6" s="272"/>
      <c r="P6" s="1"/>
      <c r="Q6" s="1"/>
      <c r="R6" s="1"/>
    </row>
    <row r="7" spans="1:18" ht="15.75" thickBot="1">
      <c r="A7" s="170" t="s">
        <v>2</v>
      </c>
      <c r="B7" s="204" t="s">
        <v>20</v>
      </c>
      <c r="C7" s="204"/>
      <c r="D7" s="192" t="s">
        <v>21</v>
      </c>
      <c r="E7" s="192"/>
      <c r="F7" s="192"/>
      <c r="G7" s="193" t="s">
        <v>22</v>
      </c>
      <c r="H7" s="193"/>
      <c r="I7" s="193"/>
      <c r="J7" s="205" t="s">
        <v>23</v>
      </c>
      <c r="K7" s="205"/>
      <c r="L7" s="205"/>
      <c r="M7" s="191" t="s">
        <v>24</v>
      </c>
      <c r="N7" s="191"/>
      <c r="O7" s="191"/>
    </row>
    <row r="8" spans="1:18" s="7" customFormat="1" ht="316.5" customHeight="1">
      <c r="A8" s="7" t="s">
        <v>49</v>
      </c>
      <c r="B8" s="247" t="s">
        <v>128</v>
      </c>
      <c r="C8" s="248"/>
      <c r="D8" s="247" t="s">
        <v>129</v>
      </c>
      <c r="E8" s="248"/>
      <c r="F8" s="248"/>
      <c r="G8" s="247" t="s">
        <v>130</v>
      </c>
      <c r="H8" s="248"/>
      <c r="I8" s="248"/>
      <c r="J8" s="247" t="s">
        <v>131</v>
      </c>
      <c r="K8" s="248"/>
      <c r="L8" s="248"/>
      <c r="M8" s="247" t="s">
        <v>132</v>
      </c>
      <c r="N8" s="248"/>
      <c r="O8" s="248"/>
    </row>
  </sheetData>
  <mergeCells count="17">
    <mergeCell ref="M7:O7"/>
    <mergeCell ref="A1:B2"/>
    <mergeCell ref="C1:O1"/>
    <mergeCell ref="D8:F8"/>
    <mergeCell ref="G8:I8"/>
    <mergeCell ref="J8:L8"/>
    <mergeCell ref="M8:O8"/>
    <mergeCell ref="A3:B3"/>
    <mergeCell ref="A4:B4"/>
    <mergeCell ref="A5:B5"/>
    <mergeCell ref="A6:B6"/>
    <mergeCell ref="B7:C7"/>
    <mergeCell ref="B8:C8"/>
    <mergeCell ref="D7:F7"/>
    <mergeCell ref="C6:O6"/>
    <mergeCell ref="G7:I7"/>
    <mergeCell ref="J7:L7"/>
  </mergeCells>
  <phoneticPr fontId="15" type="noConversion"/>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103F-EA65-4131-B0E1-0D8E1E9BCB74}">
  <sheetPr>
    <tabColor rgb="FFF4F785"/>
  </sheetPr>
  <dimension ref="A1:O19"/>
  <sheetViews>
    <sheetView topLeftCell="B1" zoomScale="120" zoomScaleNormal="120" zoomScaleSheetLayoutView="50" workbookViewId="0">
      <selection activeCell="B13" sqref="B13:I13"/>
    </sheetView>
  </sheetViews>
  <sheetFormatPr defaultRowHeight="15"/>
  <cols>
    <col min="1" max="1" width="19.7109375" customWidth="1"/>
    <col min="2" max="2" width="78.28515625" customWidth="1"/>
    <col min="3" max="3" width="16" customWidth="1"/>
    <col min="4" max="4" width="12.85546875" customWidth="1"/>
    <col min="5" max="15" width="14.5703125" customWidth="1"/>
  </cols>
  <sheetData>
    <row r="1" spans="1:15" ht="15.75" thickBot="1">
      <c r="A1" s="275" t="s">
        <v>0</v>
      </c>
      <c r="B1" s="276"/>
      <c r="C1" s="273">
        <v>2025</v>
      </c>
      <c r="D1" s="274"/>
      <c r="E1" s="274"/>
      <c r="F1" s="274"/>
      <c r="G1" s="274"/>
      <c r="H1" s="274"/>
      <c r="I1" s="274"/>
      <c r="J1" s="274"/>
      <c r="K1" s="274"/>
      <c r="L1" s="274"/>
      <c r="M1" s="274"/>
      <c r="N1" s="274"/>
      <c r="O1" s="274"/>
    </row>
    <row r="2" spans="1:15" ht="30" customHeight="1" thickTop="1" thickBot="1">
      <c r="A2" s="277" t="s">
        <v>133</v>
      </c>
      <c r="B2" s="241"/>
      <c r="C2" s="100">
        <f>C4/C5</f>
        <v>7.1428571428571429E-4</v>
      </c>
      <c r="D2" s="100">
        <f t="shared" ref="D2:K2" si="0">D4/D5</f>
        <v>0</v>
      </c>
      <c r="E2" s="100">
        <f t="shared" si="0"/>
        <v>6.6622251832111927E-4</v>
      </c>
      <c r="F2" s="100">
        <f t="shared" si="0"/>
        <v>6.2460961898813238E-4</v>
      </c>
      <c r="G2" s="100">
        <f t="shared" si="0"/>
        <v>2.3837902264600714E-3</v>
      </c>
      <c r="H2" s="100">
        <f t="shared" si="0"/>
        <v>1.2903225806451613E-3</v>
      </c>
      <c r="I2" s="100">
        <f t="shared" si="0"/>
        <v>2.1401819154628142E-3</v>
      </c>
      <c r="J2" s="100">
        <f t="shared" si="0"/>
        <v>1.1267605633802818E-3</v>
      </c>
      <c r="K2" s="100">
        <f t="shared" si="0"/>
        <v>1.0723860589812334E-3</v>
      </c>
      <c r="L2" s="3"/>
      <c r="M2" s="3"/>
      <c r="N2" s="3"/>
      <c r="O2" s="138">
        <f>MEDIAN(C2:N2)</f>
        <v>1.0723860589812334E-3</v>
      </c>
    </row>
    <row r="3" spans="1:15" ht="16.5" thickTop="1" thickBot="1">
      <c r="A3" s="278" t="s">
        <v>2</v>
      </c>
      <c r="B3" s="279"/>
      <c r="C3" s="4" t="s">
        <v>3</v>
      </c>
      <c r="D3" s="4" t="s">
        <v>4</v>
      </c>
      <c r="E3" s="4" t="s">
        <v>5</v>
      </c>
      <c r="F3" s="4" t="s">
        <v>6</v>
      </c>
      <c r="G3" s="4" t="s">
        <v>7</v>
      </c>
      <c r="H3" s="4" t="s">
        <v>8</v>
      </c>
      <c r="I3" s="4" t="s">
        <v>9</v>
      </c>
      <c r="J3" s="4" t="s">
        <v>10</v>
      </c>
      <c r="K3" s="4" t="s">
        <v>11</v>
      </c>
      <c r="L3" s="4" t="s">
        <v>12</v>
      </c>
      <c r="M3" s="4" t="s">
        <v>13</v>
      </c>
      <c r="N3" s="4" t="s">
        <v>14</v>
      </c>
      <c r="O3" s="26" t="s">
        <v>125</v>
      </c>
    </row>
    <row r="4" spans="1:15" ht="30" customHeight="1" thickTop="1" thickBot="1">
      <c r="A4" s="280" t="s">
        <v>134</v>
      </c>
      <c r="B4" s="281"/>
      <c r="C4" s="5">
        <v>1</v>
      </c>
      <c r="D4" s="5">
        <v>0</v>
      </c>
      <c r="E4" s="5">
        <v>1</v>
      </c>
      <c r="F4" s="5">
        <v>1</v>
      </c>
      <c r="G4" s="5">
        <v>4</v>
      </c>
      <c r="H4" s="5">
        <v>2</v>
      </c>
      <c r="I4" s="5">
        <v>4</v>
      </c>
      <c r="J4" s="5">
        <v>2</v>
      </c>
      <c r="K4" s="5">
        <v>2</v>
      </c>
      <c r="L4" s="5">
        <v>0</v>
      </c>
      <c r="M4" s="5">
        <v>0</v>
      </c>
      <c r="N4" s="5">
        <v>0</v>
      </c>
      <c r="O4" s="78">
        <f>MEDIAN(C4:N4)</f>
        <v>1</v>
      </c>
    </row>
    <row r="5" spans="1:15" ht="30" customHeight="1" thickTop="1" thickBot="1">
      <c r="A5" s="282" t="s">
        <v>17</v>
      </c>
      <c r="B5" s="283"/>
      <c r="C5" s="9">
        <v>1400</v>
      </c>
      <c r="D5" s="6">
        <v>1466</v>
      </c>
      <c r="E5" s="6">
        <v>1501</v>
      </c>
      <c r="F5" s="6">
        <v>1601</v>
      </c>
      <c r="G5" s="6">
        <v>1678</v>
      </c>
      <c r="H5" s="6">
        <v>1550</v>
      </c>
      <c r="I5" s="6">
        <v>1869</v>
      </c>
      <c r="J5" s="6">
        <v>1775</v>
      </c>
      <c r="K5" s="6">
        <v>1865</v>
      </c>
      <c r="L5" s="6">
        <v>0</v>
      </c>
      <c r="M5" s="6">
        <v>0</v>
      </c>
      <c r="N5" s="6">
        <v>0</v>
      </c>
      <c r="O5" s="78">
        <f>MEDIAN(C5:N5)</f>
        <v>1525.5</v>
      </c>
    </row>
    <row r="6" spans="1:15" ht="16.5" thickTop="1" thickBot="1">
      <c r="A6" s="269" t="s">
        <v>61</v>
      </c>
      <c r="B6" s="270"/>
      <c r="C6" s="288" t="s">
        <v>135</v>
      </c>
      <c r="D6" s="289"/>
      <c r="E6" s="289"/>
      <c r="F6" s="289"/>
      <c r="G6" s="289"/>
      <c r="H6" s="289"/>
      <c r="I6" s="289"/>
      <c r="J6" s="289"/>
      <c r="K6" s="289"/>
      <c r="L6" s="289"/>
      <c r="M6" s="289"/>
      <c r="N6" s="289"/>
      <c r="O6" s="289"/>
    </row>
    <row r="7" spans="1:15" ht="15.75" customHeight="1" thickBot="1">
      <c r="A7" s="170" t="s">
        <v>2</v>
      </c>
      <c r="B7" s="284" t="s">
        <v>20</v>
      </c>
      <c r="C7" s="285"/>
      <c r="D7" s="285"/>
      <c r="E7" s="285"/>
      <c r="F7" s="285"/>
      <c r="G7" s="285"/>
      <c r="H7" s="285"/>
      <c r="I7" s="286"/>
      <c r="J7" s="205"/>
      <c r="K7" s="205"/>
      <c r="L7" s="205"/>
      <c r="M7" s="191"/>
      <c r="N7" s="191"/>
      <c r="O7" s="191"/>
    </row>
    <row r="8" spans="1:15" ht="199.5" customHeight="1">
      <c r="A8" s="18" t="s">
        <v>63</v>
      </c>
      <c r="B8" s="247" t="s">
        <v>136</v>
      </c>
      <c r="C8" s="247"/>
      <c r="D8" s="247"/>
      <c r="E8" s="247"/>
      <c r="F8" s="247"/>
      <c r="G8" s="247"/>
      <c r="H8" s="247"/>
      <c r="I8" s="247"/>
      <c r="J8" s="246"/>
      <c r="K8" s="246"/>
      <c r="L8" s="246"/>
      <c r="M8" s="246"/>
      <c r="N8" s="246"/>
      <c r="O8" s="246"/>
    </row>
    <row r="9" spans="1:15">
      <c r="A9" s="18" t="s">
        <v>69</v>
      </c>
      <c r="B9" s="290"/>
      <c r="C9" s="290"/>
      <c r="D9" s="290"/>
      <c r="E9" s="290"/>
      <c r="F9" s="290"/>
      <c r="G9" s="290"/>
      <c r="H9" s="290"/>
      <c r="I9" s="290"/>
      <c r="J9" s="292"/>
      <c r="K9" s="292"/>
      <c r="L9" s="292"/>
      <c r="M9" s="292"/>
      <c r="N9" s="292"/>
      <c r="O9" s="292"/>
    </row>
    <row r="10" spans="1:15" ht="223.5" customHeight="1">
      <c r="A10" s="18" t="s">
        <v>71</v>
      </c>
      <c r="B10" s="291" t="s">
        <v>137</v>
      </c>
      <c r="C10" s="291"/>
      <c r="D10" s="291"/>
      <c r="E10" s="291"/>
      <c r="F10" s="291"/>
      <c r="G10" s="291"/>
      <c r="H10" s="291"/>
      <c r="I10" s="291"/>
      <c r="J10" s="292"/>
      <c r="K10" s="292"/>
      <c r="L10" s="292"/>
      <c r="M10" s="292"/>
      <c r="N10" s="292"/>
      <c r="O10" s="292"/>
    </row>
    <row r="11" spans="1:15" ht="212.25" customHeight="1">
      <c r="A11" s="18" t="s">
        <v>73</v>
      </c>
      <c r="B11" s="291" t="s">
        <v>138</v>
      </c>
      <c r="C11" s="291"/>
      <c r="D11" s="291"/>
      <c r="E11" s="291"/>
      <c r="F11" s="291"/>
      <c r="G11" s="291"/>
      <c r="H11" s="291"/>
      <c r="I11" s="291"/>
      <c r="J11" s="292"/>
      <c r="K11" s="292"/>
      <c r="L11" s="292"/>
      <c r="M11" s="292"/>
      <c r="N11" s="292"/>
      <c r="O11" s="292"/>
    </row>
    <row r="12" spans="1:15" ht="346.5" customHeight="1">
      <c r="A12" s="18" t="s">
        <v>79</v>
      </c>
      <c r="B12" s="291" t="s">
        <v>139</v>
      </c>
      <c r="C12" s="291"/>
      <c r="D12" s="291"/>
      <c r="E12" s="291"/>
      <c r="F12" s="291"/>
      <c r="G12" s="291"/>
      <c r="H12" s="291"/>
      <c r="I12" s="291"/>
      <c r="J12" s="292"/>
      <c r="K12" s="292"/>
      <c r="L12" s="292"/>
      <c r="M12" s="292"/>
      <c r="N12" s="292"/>
      <c r="O12" s="292"/>
    </row>
    <row r="13" spans="1:15" ht="333.75" customHeight="1">
      <c r="A13" s="18" t="s">
        <v>81</v>
      </c>
      <c r="B13" s="291" t="s">
        <v>140</v>
      </c>
      <c r="C13" s="291"/>
      <c r="D13" s="291"/>
      <c r="E13" s="291"/>
      <c r="F13" s="291"/>
      <c r="G13" s="291"/>
      <c r="H13" s="291"/>
      <c r="I13" s="291"/>
      <c r="J13" s="292"/>
      <c r="K13" s="292"/>
      <c r="L13" s="292"/>
      <c r="M13" s="292"/>
      <c r="N13" s="292"/>
      <c r="O13" s="292"/>
    </row>
    <row r="14" spans="1:15" ht="387.75" customHeight="1">
      <c r="A14" s="18" t="s">
        <v>37</v>
      </c>
      <c r="B14" s="291" t="s">
        <v>141</v>
      </c>
      <c r="C14" s="291"/>
      <c r="D14" s="291"/>
      <c r="E14" s="291"/>
      <c r="F14" s="291"/>
      <c r="G14" s="291"/>
      <c r="H14" s="291"/>
      <c r="I14" s="291"/>
      <c r="J14" s="292"/>
      <c r="K14" s="292"/>
      <c r="L14" s="292"/>
      <c r="M14" s="292"/>
      <c r="N14" s="292"/>
      <c r="O14" s="292"/>
    </row>
    <row r="15" spans="1:15" ht="318.75" customHeight="1">
      <c r="A15" s="7" t="s">
        <v>43</v>
      </c>
      <c r="B15" s="287" t="s">
        <v>142</v>
      </c>
      <c r="C15" s="287"/>
      <c r="D15" s="287"/>
      <c r="E15" s="287"/>
      <c r="F15" s="287"/>
      <c r="G15" s="287"/>
      <c r="H15" s="287"/>
      <c r="I15" s="287"/>
      <c r="J15" s="292"/>
      <c r="K15" s="292"/>
      <c r="L15" s="292"/>
      <c r="M15" s="292"/>
      <c r="N15" s="292"/>
      <c r="O15" s="292"/>
    </row>
    <row r="16" spans="1:15" ht="291.75" customHeight="1">
      <c r="A16" s="7" t="s">
        <v>49</v>
      </c>
      <c r="B16" s="287" t="s">
        <v>143</v>
      </c>
      <c r="C16" s="287"/>
      <c r="D16" s="287"/>
      <c r="E16" s="287"/>
      <c r="F16" s="287"/>
      <c r="G16" s="287"/>
      <c r="H16" s="287"/>
      <c r="I16" s="287"/>
      <c r="J16" s="292"/>
      <c r="K16" s="292"/>
      <c r="L16" s="292"/>
      <c r="M16" s="292"/>
      <c r="N16" s="292"/>
      <c r="O16" s="292"/>
    </row>
    <row r="17" spans="1:1">
      <c r="A17" t="s">
        <v>55</v>
      </c>
    </row>
    <row r="18" spans="1:1">
      <c r="A18" t="s">
        <v>56</v>
      </c>
    </row>
    <row r="19" spans="1:1">
      <c r="A19" t="s">
        <v>57</v>
      </c>
    </row>
  </sheetData>
  <mergeCells count="29">
    <mergeCell ref="J9:O9"/>
    <mergeCell ref="J10:O10"/>
    <mergeCell ref="J11:O11"/>
    <mergeCell ref="J12:O12"/>
    <mergeCell ref="J13:O13"/>
    <mergeCell ref="B16:I16"/>
    <mergeCell ref="J8:O8"/>
    <mergeCell ref="A6:B6"/>
    <mergeCell ref="C6:O6"/>
    <mergeCell ref="M7:O7"/>
    <mergeCell ref="B8:I8"/>
    <mergeCell ref="B9:I9"/>
    <mergeCell ref="B10:I10"/>
    <mergeCell ref="B11:I11"/>
    <mergeCell ref="J14:O14"/>
    <mergeCell ref="J15:O15"/>
    <mergeCell ref="B12:I12"/>
    <mergeCell ref="B13:I13"/>
    <mergeCell ref="B14:I14"/>
    <mergeCell ref="B15:I15"/>
    <mergeCell ref="J16:O16"/>
    <mergeCell ref="C1:O1"/>
    <mergeCell ref="J7:L7"/>
    <mergeCell ref="A1:B1"/>
    <mergeCell ref="A2:B2"/>
    <mergeCell ref="A3:B3"/>
    <mergeCell ref="A4:B4"/>
    <mergeCell ref="A5:B5"/>
    <mergeCell ref="B7:I7"/>
  </mergeCells>
  <phoneticPr fontId="15" type="noConversion"/>
  <pageMargins left="0.511811024" right="0.511811024" top="0.78740157499999996" bottom="0.78740157499999996" header="0.31496062000000002" footer="0.31496062000000002"/>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9C1E6-54D7-4A40-973A-0C0F23A932C8}">
  <sheetPr>
    <tabColor theme="5" tint="-0.249977111117893"/>
  </sheetPr>
  <dimension ref="A1:O24"/>
  <sheetViews>
    <sheetView zoomScale="60" zoomScaleNormal="60" workbookViewId="0">
      <selection activeCell="M15" sqref="M15:O15"/>
    </sheetView>
  </sheetViews>
  <sheetFormatPr defaultRowHeight="13.5"/>
  <cols>
    <col min="1" max="1" width="14.5703125" style="24" customWidth="1"/>
    <col min="2" max="2" width="60.28515625" style="24" customWidth="1"/>
    <col min="3" max="3" width="19.5703125" style="24" customWidth="1"/>
    <col min="4" max="6" width="34" style="24" customWidth="1"/>
    <col min="7" max="9" width="28.140625" style="24" customWidth="1"/>
    <col min="10" max="12" width="29.5703125" style="24" customWidth="1"/>
    <col min="13" max="15" width="26.7109375" style="24" customWidth="1"/>
    <col min="16" max="16384" width="9.140625" style="24"/>
  </cols>
  <sheetData>
    <row r="1" spans="1:15" ht="16.5" customHeight="1" thickBot="1">
      <c r="A1" s="341" t="s">
        <v>0</v>
      </c>
      <c r="B1" s="342"/>
      <c r="C1" s="339">
        <v>2025</v>
      </c>
      <c r="D1" s="340"/>
      <c r="E1" s="340"/>
      <c r="F1" s="340"/>
      <c r="G1" s="340"/>
      <c r="H1" s="340"/>
      <c r="I1" s="340"/>
      <c r="J1" s="340"/>
      <c r="K1" s="340"/>
      <c r="L1" s="340"/>
      <c r="M1" s="340"/>
      <c r="N1" s="340"/>
      <c r="O1" s="340"/>
    </row>
    <row r="2" spans="1:15" ht="27.75" customHeight="1" thickTop="1" thickBot="1">
      <c r="A2" s="343" t="s">
        <v>144</v>
      </c>
      <c r="B2" s="344"/>
      <c r="C2" s="37">
        <v>0.74</v>
      </c>
      <c r="D2" s="37">
        <v>0.76</v>
      </c>
      <c r="E2" s="37">
        <v>0.78</v>
      </c>
      <c r="F2" s="37">
        <v>0.72</v>
      </c>
      <c r="G2" s="37">
        <v>0.8</v>
      </c>
      <c r="H2" s="37">
        <v>0.77</v>
      </c>
      <c r="I2" s="37">
        <v>0.91</v>
      </c>
      <c r="J2" s="37">
        <f>J4/J5</f>
        <v>0.83878241262683206</v>
      </c>
      <c r="K2" s="37">
        <f>K4/K5</f>
        <v>0.82442748091603058</v>
      </c>
      <c r="L2" s="38"/>
      <c r="M2" s="38"/>
      <c r="N2" s="38"/>
      <c r="O2" s="79">
        <f>MEDIAN(C2:N2)</f>
        <v>0.78</v>
      </c>
    </row>
    <row r="3" spans="1:15" ht="16.5" customHeight="1" thickTop="1" thickBot="1">
      <c r="A3" s="345" t="s">
        <v>2</v>
      </c>
      <c r="B3" s="346"/>
      <c r="C3" s="39" t="s">
        <v>3</v>
      </c>
      <c r="D3" s="39" t="s">
        <v>4</v>
      </c>
      <c r="E3" s="39" t="s">
        <v>5</v>
      </c>
      <c r="F3" s="39" t="s">
        <v>6</v>
      </c>
      <c r="G3" s="39" t="s">
        <v>7</v>
      </c>
      <c r="H3" s="39" t="s">
        <v>8</v>
      </c>
      <c r="I3" s="39" t="s">
        <v>9</v>
      </c>
      <c r="J3" s="39" t="s">
        <v>10</v>
      </c>
      <c r="K3" s="39" t="s">
        <v>11</v>
      </c>
      <c r="L3" s="39" t="s">
        <v>12</v>
      </c>
      <c r="M3" s="39" t="s">
        <v>13</v>
      </c>
      <c r="N3" s="39" t="s">
        <v>14</v>
      </c>
      <c r="O3" s="43" t="s">
        <v>125</v>
      </c>
    </row>
    <row r="4" spans="1:15" ht="43.5" customHeight="1" thickTop="1" thickBot="1">
      <c r="A4" s="242" t="s">
        <v>145</v>
      </c>
      <c r="B4" s="243"/>
      <c r="C4" s="40">
        <v>535</v>
      </c>
      <c r="D4" s="40">
        <v>619</v>
      </c>
      <c r="E4" s="40">
        <v>662</v>
      </c>
      <c r="F4" s="40">
        <v>688</v>
      </c>
      <c r="G4" s="40">
        <v>764</v>
      </c>
      <c r="H4" s="40">
        <v>717</v>
      </c>
      <c r="I4" s="40">
        <v>740</v>
      </c>
      <c r="J4" s="40">
        <v>744</v>
      </c>
      <c r="K4" s="40">
        <v>756</v>
      </c>
      <c r="L4" s="40">
        <v>0</v>
      </c>
      <c r="M4" s="40">
        <v>0</v>
      </c>
      <c r="N4" s="40">
        <v>0</v>
      </c>
      <c r="O4" s="42">
        <f>MEDIAN(C4:N4)</f>
        <v>675</v>
      </c>
    </row>
    <row r="5" spans="1:15" ht="43.5" customHeight="1" thickTop="1" thickBot="1">
      <c r="A5" s="242" t="s">
        <v>146</v>
      </c>
      <c r="B5" s="243"/>
      <c r="C5" s="41">
        <v>726</v>
      </c>
      <c r="D5" s="41">
        <v>818</v>
      </c>
      <c r="E5" s="41">
        <v>848</v>
      </c>
      <c r="F5" s="41">
        <v>949</v>
      </c>
      <c r="G5" s="41">
        <v>951</v>
      </c>
      <c r="H5" s="41">
        <v>936</v>
      </c>
      <c r="I5" s="41">
        <v>880</v>
      </c>
      <c r="J5" s="41">
        <v>887</v>
      </c>
      <c r="K5" s="41">
        <v>917</v>
      </c>
      <c r="L5" s="41">
        <v>0</v>
      </c>
      <c r="M5" s="41">
        <v>0</v>
      </c>
      <c r="N5" s="41">
        <v>0</v>
      </c>
      <c r="O5" s="42">
        <f>MEDIAN(C5:N5)</f>
        <v>864</v>
      </c>
    </row>
    <row r="6" spans="1:15" ht="15" thickTop="1" thickBot="1">
      <c r="A6" s="335" t="s">
        <v>61</v>
      </c>
      <c r="B6" s="336"/>
      <c r="C6" s="337" t="s">
        <v>147</v>
      </c>
      <c r="D6" s="338"/>
      <c r="E6" s="338"/>
      <c r="F6" s="338"/>
      <c r="G6" s="338"/>
      <c r="H6" s="338"/>
      <c r="I6" s="338"/>
      <c r="J6" s="338"/>
      <c r="K6" s="338"/>
      <c r="L6" s="338"/>
      <c r="M6" s="338"/>
      <c r="N6" s="338"/>
      <c r="O6" s="338"/>
    </row>
    <row r="7" spans="1:15" ht="20.25" customHeight="1" thickBot="1">
      <c r="A7" s="169" t="s">
        <v>2</v>
      </c>
      <c r="B7" s="293" t="s">
        <v>20</v>
      </c>
      <c r="C7" s="294"/>
      <c r="D7" s="295" t="s">
        <v>21</v>
      </c>
      <c r="E7" s="296"/>
      <c r="F7" s="297"/>
      <c r="G7" s="298" t="s">
        <v>22</v>
      </c>
      <c r="H7" s="299"/>
      <c r="I7" s="300"/>
      <c r="J7" s="301" t="s">
        <v>23</v>
      </c>
      <c r="K7" s="302"/>
      <c r="L7" s="303"/>
      <c r="M7" s="304" t="s">
        <v>24</v>
      </c>
      <c r="N7" s="305"/>
      <c r="O7" s="306"/>
    </row>
    <row r="8" spans="1:15" ht="297" customHeight="1" thickBot="1">
      <c r="A8" s="50" t="s">
        <v>63</v>
      </c>
      <c r="B8" s="324" t="s">
        <v>148</v>
      </c>
      <c r="C8" s="325"/>
      <c r="D8" s="326" t="s">
        <v>149</v>
      </c>
      <c r="E8" s="327"/>
      <c r="F8" s="328"/>
      <c r="G8" s="326" t="s">
        <v>150</v>
      </c>
      <c r="H8" s="327"/>
      <c r="I8" s="328"/>
      <c r="J8" s="326" t="s">
        <v>151</v>
      </c>
      <c r="K8" s="327"/>
      <c r="L8" s="328"/>
      <c r="M8" s="326" t="s">
        <v>152</v>
      </c>
      <c r="N8" s="327"/>
      <c r="O8" s="328"/>
    </row>
    <row r="9" spans="1:15" ht="276.75" customHeight="1" thickBot="1">
      <c r="A9" s="50" t="s">
        <v>69</v>
      </c>
      <c r="B9" s="324" t="s">
        <v>153</v>
      </c>
      <c r="C9" s="325"/>
      <c r="D9" s="329"/>
      <c r="E9" s="330"/>
      <c r="F9" s="331"/>
      <c r="G9" s="309"/>
      <c r="H9" s="310"/>
      <c r="I9" s="311"/>
      <c r="J9" s="309"/>
      <c r="K9" s="310"/>
      <c r="L9" s="311"/>
      <c r="M9" s="309"/>
      <c r="N9" s="310"/>
      <c r="O9" s="311"/>
    </row>
    <row r="10" spans="1:15" ht="243" customHeight="1" thickBot="1">
      <c r="A10" s="50" t="s">
        <v>71</v>
      </c>
      <c r="B10" s="324" t="s">
        <v>154</v>
      </c>
      <c r="C10" s="325"/>
      <c r="D10" s="329"/>
      <c r="E10" s="330"/>
      <c r="F10" s="331"/>
      <c r="G10" s="309"/>
      <c r="H10" s="310"/>
      <c r="I10" s="311"/>
      <c r="J10" s="309"/>
      <c r="K10" s="310"/>
      <c r="L10" s="311"/>
      <c r="M10" s="309"/>
      <c r="N10" s="310"/>
      <c r="O10" s="311"/>
    </row>
    <row r="11" spans="1:15" ht="255" customHeight="1" thickBot="1">
      <c r="A11" s="50" t="s">
        <v>73</v>
      </c>
      <c r="B11" s="324" t="s">
        <v>155</v>
      </c>
      <c r="C11" s="325"/>
      <c r="D11" s="329"/>
      <c r="E11" s="330"/>
      <c r="F11" s="331"/>
      <c r="G11" s="309"/>
      <c r="H11" s="310"/>
      <c r="I11" s="311"/>
      <c r="J11" s="309"/>
      <c r="K11" s="310"/>
      <c r="L11" s="311"/>
      <c r="M11" s="309"/>
      <c r="N11" s="310"/>
      <c r="O11" s="311"/>
    </row>
    <row r="12" spans="1:15" ht="250.5" customHeight="1" thickBot="1">
      <c r="A12" s="50" t="s">
        <v>79</v>
      </c>
      <c r="B12" s="324" t="s">
        <v>156</v>
      </c>
      <c r="C12" s="325"/>
      <c r="D12" s="329"/>
      <c r="E12" s="330"/>
      <c r="F12" s="331"/>
      <c r="G12" s="309"/>
      <c r="H12" s="310"/>
      <c r="I12" s="311"/>
      <c r="J12" s="309"/>
      <c r="K12" s="310"/>
      <c r="L12" s="311"/>
      <c r="M12" s="309"/>
      <c r="N12" s="310"/>
      <c r="O12" s="311"/>
    </row>
    <row r="13" spans="1:15" ht="266.25" customHeight="1" thickBot="1">
      <c r="A13" s="50" t="s">
        <v>81</v>
      </c>
      <c r="B13" s="324" t="s">
        <v>157</v>
      </c>
      <c r="C13" s="325"/>
      <c r="D13" s="332"/>
      <c r="E13" s="333"/>
      <c r="F13" s="334"/>
      <c r="G13" s="309"/>
      <c r="H13" s="310"/>
      <c r="I13" s="311"/>
      <c r="J13" s="309"/>
      <c r="K13" s="310"/>
      <c r="L13" s="311"/>
      <c r="M13" s="309"/>
      <c r="N13" s="310"/>
      <c r="O13" s="311"/>
    </row>
    <row r="14" spans="1:15" ht="14.25" thickBot="1">
      <c r="A14" s="169" t="s">
        <v>2</v>
      </c>
      <c r="B14" s="293" t="s">
        <v>20</v>
      </c>
      <c r="C14" s="294"/>
      <c r="D14" s="295" t="s">
        <v>21</v>
      </c>
      <c r="E14" s="296"/>
      <c r="F14" s="297"/>
      <c r="G14" s="298" t="s">
        <v>22</v>
      </c>
      <c r="H14" s="299"/>
      <c r="I14" s="300"/>
      <c r="J14" s="301" t="s">
        <v>23</v>
      </c>
      <c r="K14" s="302"/>
      <c r="L14" s="303"/>
      <c r="M14" s="304" t="s">
        <v>24</v>
      </c>
      <c r="N14" s="305"/>
      <c r="O14" s="306"/>
    </row>
    <row r="15" spans="1:15" ht="257.25" customHeight="1" thickBot="1">
      <c r="A15" s="50" t="s">
        <v>37</v>
      </c>
      <c r="B15" s="309" t="s">
        <v>158</v>
      </c>
      <c r="C15" s="308"/>
      <c r="D15" s="312" t="s">
        <v>159</v>
      </c>
      <c r="E15" s="313"/>
      <c r="F15" s="314"/>
      <c r="G15" s="309" t="s">
        <v>160</v>
      </c>
      <c r="H15" s="310"/>
      <c r="I15" s="311"/>
      <c r="J15" s="309" t="s">
        <v>161</v>
      </c>
      <c r="K15" s="310"/>
      <c r="L15" s="311"/>
      <c r="M15" s="321" t="s">
        <v>162</v>
      </c>
      <c r="N15" s="322"/>
      <c r="O15" s="323"/>
    </row>
    <row r="16" spans="1:15" ht="165" customHeight="1" thickBot="1">
      <c r="A16" s="50" t="s">
        <v>43</v>
      </c>
      <c r="B16" s="309" t="s">
        <v>163</v>
      </c>
      <c r="C16" s="308"/>
      <c r="D16" s="315"/>
      <c r="E16" s="316"/>
      <c r="F16" s="317"/>
      <c r="G16" s="309"/>
      <c r="H16" s="310"/>
      <c r="I16" s="311"/>
      <c r="J16" s="309"/>
      <c r="K16" s="310"/>
      <c r="L16" s="311"/>
      <c r="M16" s="309"/>
      <c r="N16" s="310"/>
      <c r="O16" s="311"/>
    </row>
    <row r="17" spans="1:15" ht="222.75" customHeight="1" thickBot="1">
      <c r="A17" s="50" t="s">
        <v>49</v>
      </c>
      <c r="B17" s="309" t="s">
        <v>164</v>
      </c>
      <c r="C17" s="308"/>
      <c r="D17" s="318"/>
      <c r="E17" s="319"/>
      <c r="F17" s="320"/>
      <c r="G17" s="309"/>
      <c r="H17" s="310"/>
      <c r="I17" s="311"/>
      <c r="J17" s="309"/>
      <c r="K17" s="310"/>
      <c r="L17" s="311"/>
      <c r="M17" s="309"/>
      <c r="N17" s="310"/>
      <c r="O17" s="311"/>
    </row>
    <row r="18" spans="1:15" ht="14.25" thickBot="1">
      <c r="A18" s="169" t="s">
        <v>2</v>
      </c>
      <c r="B18" s="293" t="s">
        <v>20</v>
      </c>
      <c r="C18" s="294"/>
      <c r="D18" s="295" t="s">
        <v>21</v>
      </c>
      <c r="E18" s="296"/>
      <c r="F18" s="297"/>
      <c r="G18" s="298" t="s">
        <v>22</v>
      </c>
      <c r="H18" s="299"/>
      <c r="I18" s="300"/>
      <c r="J18" s="301" t="s">
        <v>23</v>
      </c>
      <c r="K18" s="302"/>
      <c r="L18" s="303"/>
      <c r="M18" s="304" t="s">
        <v>24</v>
      </c>
      <c r="N18" s="305"/>
      <c r="O18" s="306"/>
    </row>
    <row r="19" spans="1:15" ht="54" customHeight="1" thickBot="1">
      <c r="A19" s="50" t="s">
        <v>55</v>
      </c>
      <c r="B19" s="307"/>
      <c r="C19" s="308"/>
      <c r="D19" s="309"/>
      <c r="E19" s="310"/>
      <c r="F19" s="311"/>
      <c r="G19" s="309"/>
      <c r="H19" s="310"/>
      <c r="I19" s="311"/>
      <c r="J19" s="309"/>
      <c r="K19" s="310"/>
      <c r="L19" s="311"/>
      <c r="M19" s="309"/>
      <c r="N19" s="310"/>
      <c r="O19" s="311"/>
    </row>
    <row r="20" spans="1:15" ht="54" customHeight="1" thickBot="1">
      <c r="A20" s="50" t="s">
        <v>56</v>
      </c>
      <c r="B20" s="307"/>
      <c r="C20" s="308"/>
      <c r="D20" s="309"/>
      <c r="E20" s="310"/>
      <c r="F20" s="311"/>
      <c r="G20" s="309"/>
      <c r="H20" s="310"/>
      <c r="I20" s="311"/>
      <c r="J20" s="309"/>
      <c r="K20" s="310"/>
      <c r="L20" s="311"/>
      <c r="M20" s="309"/>
      <c r="N20" s="310"/>
      <c r="O20" s="311"/>
    </row>
    <row r="21" spans="1:15" ht="54" customHeight="1" thickBot="1">
      <c r="A21" s="50" t="s">
        <v>57</v>
      </c>
      <c r="B21" s="307"/>
      <c r="C21" s="308"/>
      <c r="D21" s="309"/>
      <c r="E21" s="310"/>
      <c r="F21" s="311"/>
      <c r="G21" s="309"/>
      <c r="H21" s="310"/>
      <c r="I21" s="311"/>
      <c r="J21" s="309"/>
      <c r="K21" s="310"/>
      <c r="L21" s="311"/>
      <c r="M21" s="309"/>
      <c r="N21" s="310"/>
      <c r="O21" s="311"/>
    </row>
    <row r="22" spans="1:15" ht="14.25" thickBot="1">
      <c r="A22" s="51"/>
      <c r="B22" s="51"/>
      <c r="C22" s="51"/>
      <c r="D22" s="51"/>
      <c r="E22" s="51"/>
      <c r="F22" s="51"/>
      <c r="G22" s="51"/>
      <c r="H22" s="51"/>
      <c r="I22" s="51"/>
      <c r="J22" s="51"/>
      <c r="K22" s="51"/>
      <c r="L22" s="51"/>
      <c r="M22" s="51"/>
      <c r="N22" s="51"/>
      <c r="O22" s="51"/>
    </row>
    <row r="23" spans="1:15" ht="14.25" thickBot="1">
      <c r="A23" s="51"/>
      <c r="B23" s="51"/>
      <c r="C23" s="51"/>
      <c r="D23" s="51"/>
      <c r="E23" s="51"/>
      <c r="F23" s="51"/>
      <c r="G23" s="51"/>
      <c r="H23" s="51"/>
      <c r="I23" s="51"/>
      <c r="J23" s="51"/>
      <c r="K23" s="51"/>
      <c r="L23" s="51"/>
      <c r="M23" s="51"/>
      <c r="N23" s="51"/>
      <c r="O23" s="51"/>
    </row>
    <row r="24" spans="1:15" ht="14.25" thickBot="1">
      <c r="A24" s="51"/>
      <c r="B24" s="51"/>
      <c r="C24" s="51"/>
      <c r="D24" s="51"/>
      <c r="E24" s="51"/>
      <c r="F24" s="51"/>
      <c r="G24" s="51"/>
      <c r="H24" s="51"/>
      <c r="I24" s="51"/>
      <c r="J24" s="51"/>
      <c r="K24" s="51"/>
      <c r="L24" s="51"/>
      <c r="M24" s="51"/>
      <c r="N24" s="51"/>
      <c r="O24" s="51"/>
    </row>
  </sheetData>
  <mergeCells count="76">
    <mergeCell ref="A5:B5"/>
    <mergeCell ref="C6:O6"/>
    <mergeCell ref="C1:O1"/>
    <mergeCell ref="A1:B1"/>
    <mergeCell ref="A2:B2"/>
    <mergeCell ref="A3:B3"/>
    <mergeCell ref="A4:B4"/>
    <mergeCell ref="B8:C8"/>
    <mergeCell ref="G8:I8"/>
    <mergeCell ref="J8:L8"/>
    <mergeCell ref="M8:O8"/>
    <mergeCell ref="A6:B6"/>
    <mergeCell ref="M7:O7"/>
    <mergeCell ref="J7:L7"/>
    <mergeCell ref="G7:I7"/>
    <mergeCell ref="D7:F7"/>
    <mergeCell ref="B7:C7"/>
    <mergeCell ref="M9:O9"/>
    <mergeCell ref="B10:C10"/>
    <mergeCell ref="G10:I10"/>
    <mergeCell ref="J10:L10"/>
    <mergeCell ref="M10:O10"/>
    <mergeCell ref="B13:C13"/>
    <mergeCell ref="G13:I13"/>
    <mergeCell ref="J13:L13"/>
    <mergeCell ref="M13:O13"/>
    <mergeCell ref="D8:F13"/>
    <mergeCell ref="B11:C11"/>
    <mergeCell ref="G11:I11"/>
    <mergeCell ref="J11:L11"/>
    <mergeCell ref="M11:O11"/>
    <mergeCell ref="B12:C12"/>
    <mergeCell ref="G12:I12"/>
    <mergeCell ref="J12:L12"/>
    <mergeCell ref="M12:O12"/>
    <mergeCell ref="B9:C9"/>
    <mergeCell ref="G9:I9"/>
    <mergeCell ref="J9:L9"/>
    <mergeCell ref="B20:C20"/>
    <mergeCell ref="D20:F20"/>
    <mergeCell ref="G20:I20"/>
    <mergeCell ref="J20:L20"/>
    <mergeCell ref="M20:O20"/>
    <mergeCell ref="B19:C19"/>
    <mergeCell ref="D19:F19"/>
    <mergeCell ref="G19:I19"/>
    <mergeCell ref="J19:L19"/>
    <mergeCell ref="M19:O19"/>
    <mergeCell ref="B17:C17"/>
    <mergeCell ref="G17:I17"/>
    <mergeCell ref="J17:L17"/>
    <mergeCell ref="M17:O17"/>
    <mergeCell ref="D15:F17"/>
    <mergeCell ref="B16:C16"/>
    <mergeCell ref="G16:I16"/>
    <mergeCell ref="J16:L16"/>
    <mergeCell ref="M16:O16"/>
    <mergeCell ref="B15:C15"/>
    <mergeCell ref="G15:I15"/>
    <mergeCell ref="J15:L15"/>
    <mergeCell ref="M15:O15"/>
    <mergeCell ref="B21:C21"/>
    <mergeCell ref="D21:F21"/>
    <mergeCell ref="G21:I21"/>
    <mergeCell ref="J21:L21"/>
    <mergeCell ref="M21:O21"/>
    <mergeCell ref="B14:C14"/>
    <mergeCell ref="D14:F14"/>
    <mergeCell ref="G14:I14"/>
    <mergeCell ref="J14:L14"/>
    <mergeCell ref="M14:O14"/>
    <mergeCell ref="B18:C18"/>
    <mergeCell ref="D18:F18"/>
    <mergeCell ref="G18:I18"/>
    <mergeCell ref="J18:L18"/>
    <mergeCell ref="M18:O18"/>
  </mergeCells>
  <phoneticPr fontId="15" type="noConversion"/>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D2B5-02CA-47B5-884E-F6A55D5D2DE5}">
  <dimension ref="A1:O22"/>
  <sheetViews>
    <sheetView tabSelected="1" workbookViewId="0">
      <selection activeCell="A4" sqref="A4:B4"/>
    </sheetView>
  </sheetViews>
  <sheetFormatPr defaultRowHeight="15"/>
  <cols>
    <col min="2" max="2" width="52.140625" customWidth="1"/>
  </cols>
  <sheetData>
    <row r="1" spans="1:15" ht="15.75" thickBot="1">
      <c r="A1" s="352" t="s">
        <v>0</v>
      </c>
      <c r="B1" s="353"/>
      <c r="C1" s="349">
        <v>2025</v>
      </c>
      <c r="D1" s="350"/>
      <c r="E1" s="350"/>
      <c r="F1" s="350"/>
      <c r="G1" s="350"/>
      <c r="H1" s="350"/>
      <c r="I1" s="350"/>
      <c r="J1" s="350"/>
      <c r="K1" s="350"/>
      <c r="L1" s="350"/>
      <c r="M1" s="350"/>
      <c r="N1" s="350"/>
      <c r="O1" s="350"/>
    </row>
    <row r="2" spans="1:15" ht="16.5" customHeight="1" thickTop="1" thickBot="1">
      <c r="A2" s="343" t="s">
        <v>165</v>
      </c>
      <c r="B2" s="344"/>
      <c r="C2" s="2">
        <v>0.86</v>
      </c>
      <c r="D2" s="2">
        <v>0.86</v>
      </c>
      <c r="E2" s="2">
        <v>0.87</v>
      </c>
      <c r="F2" s="2">
        <v>0.89</v>
      </c>
      <c r="G2" s="2">
        <v>0.84</v>
      </c>
      <c r="H2" s="2">
        <v>0.88</v>
      </c>
      <c r="I2" s="2">
        <v>0.88</v>
      </c>
      <c r="J2" s="2">
        <v>0.88</v>
      </c>
      <c r="K2" s="2">
        <v>0.9</v>
      </c>
      <c r="L2" s="3"/>
      <c r="M2" s="3"/>
      <c r="N2" s="3"/>
      <c r="O2" s="76">
        <f>MEDIAN(C2:N2)</f>
        <v>0.88</v>
      </c>
    </row>
    <row r="3" spans="1:15" ht="16.5" customHeight="1" thickTop="1" thickBot="1">
      <c r="A3" s="354" t="s">
        <v>2</v>
      </c>
      <c r="B3" s="355"/>
      <c r="C3" s="4" t="s">
        <v>3</v>
      </c>
      <c r="D3" s="4" t="s">
        <v>4</v>
      </c>
      <c r="E3" s="4" t="s">
        <v>5</v>
      </c>
      <c r="F3" s="4" t="s">
        <v>6</v>
      </c>
      <c r="G3" s="4" t="s">
        <v>7</v>
      </c>
      <c r="H3" s="4" t="s">
        <v>8</v>
      </c>
      <c r="I3" s="4" t="s">
        <v>9</v>
      </c>
      <c r="J3" s="4" t="s">
        <v>10</v>
      </c>
      <c r="K3" s="4" t="s">
        <v>11</v>
      </c>
      <c r="L3" s="4" t="s">
        <v>12</v>
      </c>
      <c r="M3" s="4" t="s">
        <v>13</v>
      </c>
      <c r="N3" s="4" t="s">
        <v>14</v>
      </c>
      <c r="O3" s="30" t="s">
        <v>91</v>
      </c>
    </row>
    <row r="4" spans="1:15" ht="30.75" customHeight="1" thickTop="1" thickBot="1">
      <c r="A4" s="259" t="s">
        <v>166</v>
      </c>
      <c r="B4" s="260"/>
      <c r="C4" s="33">
        <v>1265</v>
      </c>
      <c r="D4" s="5">
        <v>1319</v>
      </c>
      <c r="E4" s="5">
        <v>1328</v>
      </c>
      <c r="F4" s="5">
        <v>1436</v>
      </c>
      <c r="G4" s="5">
        <v>1356</v>
      </c>
      <c r="H4" s="5">
        <v>1343</v>
      </c>
      <c r="I4" s="5">
        <v>1561</v>
      </c>
      <c r="J4" s="5">
        <v>1520</v>
      </c>
      <c r="K4" s="5">
        <v>1633</v>
      </c>
      <c r="L4" s="5">
        <v>0</v>
      </c>
      <c r="M4" s="5">
        <v>0</v>
      </c>
      <c r="N4" s="5">
        <v>0</v>
      </c>
      <c r="O4" s="80">
        <f>MEDIAN(C4:N4)</f>
        <v>1335.5</v>
      </c>
    </row>
    <row r="5" spans="1:15" ht="30.75" customHeight="1" thickTop="1" thickBot="1">
      <c r="A5" s="356" t="s">
        <v>60</v>
      </c>
      <c r="B5" s="357"/>
      <c r="C5" s="9">
        <v>1472</v>
      </c>
      <c r="D5" s="6">
        <v>1535</v>
      </c>
      <c r="E5" s="6">
        <v>1533</v>
      </c>
      <c r="F5" s="6">
        <v>1622</v>
      </c>
      <c r="G5" s="6">
        <v>1607</v>
      </c>
      <c r="H5" s="6">
        <v>1530</v>
      </c>
      <c r="I5" s="6">
        <v>1781</v>
      </c>
      <c r="J5" s="6">
        <v>1720</v>
      </c>
      <c r="K5" s="6">
        <v>1823</v>
      </c>
      <c r="L5" s="6">
        <v>0</v>
      </c>
      <c r="M5" s="6">
        <v>0</v>
      </c>
      <c r="N5" s="6">
        <v>0</v>
      </c>
      <c r="O5" s="80">
        <f>MEDIAN(C5:N5)</f>
        <v>1534</v>
      </c>
    </row>
    <row r="6" spans="1:15" ht="15.75" thickBot="1">
      <c r="A6" s="347" t="s">
        <v>61</v>
      </c>
      <c r="B6" s="348"/>
      <c r="C6" s="351" t="s">
        <v>147</v>
      </c>
      <c r="D6" s="351"/>
      <c r="E6" s="351"/>
      <c r="F6" s="351"/>
      <c r="G6" s="351"/>
      <c r="H6" s="351"/>
      <c r="I6" s="351"/>
      <c r="J6" s="351"/>
      <c r="K6" s="351"/>
      <c r="L6" s="351"/>
      <c r="M6" s="351"/>
      <c r="N6" s="351"/>
      <c r="O6" s="351"/>
    </row>
    <row r="7" spans="1:15" ht="15.75" thickBot="1">
      <c r="A7" s="169" t="s">
        <v>2</v>
      </c>
      <c r="B7" s="178" t="s">
        <v>20</v>
      </c>
      <c r="C7" s="178"/>
      <c r="D7" s="179" t="s">
        <v>21</v>
      </c>
      <c r="E7" s="179"/>
      <c r="F7" s="179"/>
      <c r="G7" s="180" t="s">
        <v>22</v>
      </c>
      <c r="H7" s="180"/>
      <c r="I7" s="180"/>
      <c r="J7" s="181" t="s">
        <v>23</v>
      </c>
      <c r="K7" s="181"/>
      <c r="L7" s="181"/>
      <c r="M7" s="182" t="s">
        <v>24</v>
      </c>
      <c r="N7" s="182"/>
      <c r="O7" s="182"/>
    </row>
    <row r="8" spans="1:15" ht="15.75" thickBot="1">
      <c r="A8" s="50" t="s">
        <v>63</v>
      </c>
      <c r="B8" s="235"/>
      <c r="C8" s="235"/>
      <c r="D8" s="186"/>
      <c r="E8" s="186"/>
      <c r="F8" s="186"/>
      <c r="G8" s="186"/>
      <c r="H8" s="186"/>
      <c r="I8" s="186"/>
      <c r="J8" s="186"/>
      <c r="K8" s="186"/>
      <c r="L8" s="186"/>
      <c r="M8" s="186"/>
      <c r="N8" s="186"/>
      <c r="O8" s="186"/>
    </row>
    <row r="9" spans="1:15" ht="15.75" thickBot="1">
      <c r="A9" s="50" t="s">
        <v>69</v>
      </c>
      <c r="B9" s="235"/>
      <c r="C9" s="235"/>
      <c r="D9" s="186"/>
      <c r="E9" s="186"/>
      <c r="F9" s="186"/>
      <c r="G9" s="186"/>
      <c r="H9" s="186"/>
      <c r="I9" s="186"/>
      <c r="J9" s="186"/>
      <c r="K9" s="186"/>
      <c r="L9" s="186"/>
      <c r="M9" s="186"/>
      <c r="N9" s="186"/>
      <c r="O9" s="186"/>
    </row>
    <row r="10" spans="1:15" ht="15.75" thickBot="1">
      <c r="A10" s="50" t="s">
        <v>71</v>
      </c>
      <c r="B10" s="235"/>
      <c r="C10" s="235"/>
      <c r="D10" s="186"/>
      <c r="E10" s="186"/>
      <c r="F10" s="186"/>
      <c r="G10" s="186"/>
      <c r="H10" s="186"/>
      <c r="I10" s="186"/>
      <c r="J10" s="186"/>
      <c r="K10" s="186"/>
      <c r="L10" s="186"/>
      <c r="M10" s="186"/>
      <c r="N10" s="186"/>
      <c r="O10" s="186"/>
    </row>
    <row r="11" spans="1:15" ht="15.75" thickBot="1">
      <c r="A11" s="50" t="s">
        <v>73</v>
      </c>
      <c r="B11" s="235"/>
      <c r="C11" s="235"/>
      <c r="D11" s="186"/>
      <c r="E11" s="186"/>
      <c r="F11" s="186"/>
      <c r="G11" s="186"/>
      <c r="H11" s="186"/>
      <c r="I11" s="186"/>
      <c r="J11" s="186"/>
      <c r="K11" s="186"/>
      <c r="L11" s="186"/>
      <c r="M11" s="186"/>
      <c r="N11" s="186"/>
      <c r="O11" s="186"/>
    </row>
    <row r="12" spans="1:15" ht="15.75" thickBot="1">
      <c r="A12" s="50" t="s">
        <v>79</v>
      </c>
      <c r="B12" s="235"/>
      <c r="C12" s="235"/>
      <c r="D12" s="186"/>
      <c r="E12" s="186"/>
      <c r="F12" s="186"/>
      <c r="G12" s="186"/>
      <c r="H12" s="186"/>
      <c r="I12" s="186"/>
      <c r="J12" s="186"/>
      <c r="K12" s="186"/>
      <c r="L12" s="186"/>
      <c r="M12" s="186"/>
      <c r="N12" s="186"/>
      <c r="O12" s="186"/>
    </row>
    <row r="13" spans="1:15" ht="15.75" thickBot="1">
      <c r="A13" s="50" t="s">
        <v>81</v>
      </c>
      <c r="B13" s="235"/>
      <c r="C13" s="235"/>
      <c r="D13" s="186"/>
      <c r="E13" s="186"/>
      <c r="F13" s="186"/>
      <c r="G13" s="186"/>
      <c r="H13" s="186"/>
      <c r="I13" s="186"/>
      <c r="J13" s="186"/>
      <c r="K13" s="186"/>
      <c r="L13" s="186"/>
      <c r="M13" s="186"/>
      <c r="N13" s="186"/>
      <c r="O13" s="186"/>
    </row>
    <row r="14" spans="1:15" ht="15.75" thickBot="1">
      <c r="A14" s="50" t="s">
        <v>37</v>
      </c>
      <c r="B14" s="235"/>
      <c r="C14" s="235"/>
      <c r="D14" s="186"/>
      <c r="E14" s="186"/>
      <c r="F14" s="186"/>
      <c r="G14" s="186"/>
      <c r="H14" s="186"/>
      <c r="I14" s="186"/>
      <c r="J14" s="186"/>
      <c r="K14" s="186"/>
      <c r="L14" s="186"/>
      <c r="M14" s="186"/>
      <c r="N14" s="186"/>
      <c r="O14" s="186"/>
    </row>
    <row r="15" spans="1:15" ht="15.75" thickBot="1">
      <c r="A15" s="50" t="s">
        <v>43</v>
      </c>
      <c r="B15" s="235"/>
      <c r="C15" s="235"/>
      <c r="D15" s="186"/>
      <c r="E15" s="186"/>
      <c r="F15" s="186"/>
      <c r="G15" s="186"/>
      <c r="H15" s="186"/>
      <c r="I15" s="186"/>
      <c r="J15" s="186"/>
      <c r="K15" s="186"/>
      <c r="L15" s="186"/>
      <c r="M15" s="186"/>
      <c r="N15" s="186"/>
      <c r="O15" s="186"/>
    </row>
    <row r="16" spans="1:15" ht="15.75" thickBot="1">
      <c r="A16" s="50" t="s">
        <v>49</v>
      </c>
      <c r="B16" s="235"/>
      <c r="C16" s="235"/>
      <c r="D16" s="186"/>
      <c r="E16" s="186"/>
      <c r="F16" s="186"/>
      <c r="G16" s="186"/>
      <c r="H16" s="186"/>
      <c r="I16" s="186"/>
      <c r="J16" s="186"/>
      <c r="K16" s="186"/>
      <c r="L16" s="186"/>
      <c r="M16" s="186"/>
      <c r="N16" s="186"/>
      <c r="O16" s="186"/>
    </row>
    <row r="17" spans="1:15" ht="15.75" thickBot="1">
      <c r="A17" s="50" t="s">
        <v>55</v>
      </c>
      <c r="B17" s="235"/>
      <c r="C17" s="235"/>
      <c r="D17" s="186"/>
      <c r="E17" s="186"/>
      <c r="F17" s="186"/>
      <c r="G17" s="186"/>
      <c r="H17" s="186"/>
      <c r="I17" s="186"/>
      <c r="J17" s="186"/>
      <c r="K17" s="186"/>
      <c r="L17" s="186"/>
      <c r="M17" s="186"/>
      <c r="N17" s="186"/>
      <c r="O17" s="186"/>
    </row>
    <row r="18" spans="1:15" ht="15.75" thickBot="1">
      <c r="A18" s="50" t="s">
        <v>56</v>
      </c>
      <c r="B18" s="235"/>
      <c r="C18" s="235"/>
      <c r="D18" s="186"/>
      <c r="E18" s="186"/>
      <c r="F18" s="186"/>
      <c r="G18" s="186"/>
      <c r="H18" s="186"/>
      <c r="I18" s="186"/>
      <c r="J18" s="186"/>
      <c r="K18" s="186"/>
      <c r="L18" s="186"/>
      <c r="M18" s="186"/>
      <c r="N18" s="186"/>
      <c r="O18" s="186"/>
    </row>
    <row r="19" spans="1:15" ht="15.75" thickBot="1">
      <c r="A19" s="50" t="s">
        <v>57</v>
      </c>
      <c r="B19" s="235"/>
      <c r="C19" s="235"/>
      <c r="D19" s="186"/>
      <c r="E19" s="186"/>
      <c r="F19" s="186"/>
      <c r="G19" s="186"/>
      <c r="H19" s="186"/>
      <c r="I19" s="186"/>
      <c r="J19" s="186"/>
      <c r="K19" s="186"/>
      <c r="L19" s="186"/>
      <c r="M19" s="186"/>
      <c r="N19" s="186"/>
      <c r="O19" s="186"/>
    </row>
    <row r="20" spans="1:15">
      <c r="A20" s="24"/>
      <c r="B20" s="24"/>
      <c r="C20" s="24"/>
      <c r="D20" s="24"/>
      <c r="E20" s="24"/>
      <c r="F20" s="24"/>
      <c r="G20" s="24"/>
      <c r="H20" s="24"/>
      <c r="I20" s="24"/>
      <c r="J20" s="24"/>
      <c r="K20" s="24"/>
      <c r="L20" s="24"/>
      <c r="M20" s="24"/>
      <c r="N20" s="24"/>
      <c r="O20" s="24"/>
    </row>
    <row r="21" spans="1:15">
      <c r="A21" s="24"/>
      <c r="B21" s="24"/>
      <c r="C21" s="24"/>
      <c r="D21" s="24"/>
      <c r="E21" s="24"/>
      <c r="F21" s="24"/>
      <c r="G21" s="24"/>
      <c r="H21" s="24"/>
      <c r="I21" s="24"/>
      <c r="J21" s="24"/>
      <c r="K21" s="24"/>
      <c r="L21" s="24"/>
      <c r="M21" s="24"/>
      <c r="N21" s="24"/>
      <c r="O21" s="24"/>
    </row>
    <row r="22" spans="1:15">
      <c r="A22" s="24"/>
      <c r="B22" s="24"/>
      <c r="C22" s="24"/>
      <c r="D22" s="24"/>
      <c r="E22" s="24"/>
      <c r="F22" s="24"/>
      <c r="G22" s="24"/>
      <c r="H22" s="24"/>
      <c r="I22" s="24"/>
      <c r="J22" s="24"/>
      <c r="K22" s="24"/>
      <c r="L22" s="24"/>
      <c r="M22" s="24"/>
      <c r="N22" s="24"/>
      <c r="O22" s="24"/>
    </row>
  </sheetData>
  <mergeCells count="73">
    <mergeCell ref="A6:B6"/>
    <mergeCell ref="C1:O1"/>
    <mergeCell ref="C6:O6"/>
    <mergeCell ref="B7:C7"/>
    <mergeCell ref="D7:F7"/>
    <mergeCell ref="G7:I7"/>
    <mergeCell ref="J7:L7"/>
    <mergeCell ref="M7:O7"/>
    <mergeCell ref="A1:B1"/>
    <mergeCell ref="A2:B2"/>
    <mergeCell ref="A3:B3"/>
    <mergeCell ref="A4:B4"/>
    <mergeCell ref="A5:B5"/>
    <mergeCell ref="B9:C9"/>
    <mergeCell ref="D9:F9"/>
    <mergeCell ref="G9:I9"/>
    <mergeCell ref="J9:L9"/>
    <mergeCell ref="M9:O9"/>
    <mergeCell ref="B8:C8"/>
    <mergeCell ref="D8:F8"/>
    <mergeCell ref="G8:I8"/>
    <mergeCell ref="J8:L8"/>
    <mergeCell ref="M8:O8"/>
    <mergeCell ref="B11:C11"/>
    <mergeCell ref="D11:F11"/>
    <mergeCell ref="G11:I11"/>
    <mergeCell ref="J11:L11"/>
    <mergeCell ref="M11:O11"/>
    <mergeCell ref="B10:C10"/>
    <mergeCell ref="D10:F10"/>
    <mergeCell ref="G10:I10"/>
    <mergeCell ref="J10:L10"/>
    <mergeCell ref="M10:O10"/>
    <mergeCell ref="B13:C13"/>
    <mergeCell ref="D13:F13"/>
    <mergeCell ref="G13:I13"/>
    <mergeCell ref="J13:L13"/>
    <mergeCell ref="M13:O13"/>
    <mergeCell ref="B12:C12"/>
    <mergeCell ref="D12:F12"/>
    <mergeCell ref="G12:I12"/>
    <mergeCell ref="J12:L12"/>
    <mergeCell ref="M12:O12"/>
    <mergeCell ref="B15:C15"/>
    <mergeCell ref="D15:F15"/>
    <mergeCell ref="G15:I15"/>
    <mergeCell ref="J15:L15"/>
    <mergeCell ref="M15:O15"/>
    <mergeCell ref="B14:C14"/>
    <mergeCell ref="D14:F14"/>
    <mergeCell ref="G14:I14"/>
    <mergeCell ref="J14:L14"/>
    <mergeCell ref="M14:O14"/>
    <mergeCell ref="B17:C17"/>
    <mergeCell ref="D17:F17"/>
    <mergeCell ref="G17:I17"/>
    <mergeCell ref="J17:L17"/>
    <mergeCell ref="M17:O17"/>
    <mergeCell ref="B16:C16"/>
    <mergeCell ref="D16:F16"/>
    <mergeCell ref="G16:I16"/>
    <mergeCell ref="J16:L16"/>
    <mergeCell ref="M16:O16"/>
    <mergeCell ref="B19:C19"/>
    <mergeCell ref="D19:F19"/>
    <mergeCell ref="G19:I19"/>
    <mergeCell ref="J19:L19"/>
    <mergeCell ref="M19:O19"/>
    <mergeCell ref="B18:C18"/>
    <mergeCell ref="D18:F18"/>
    <mergeCell ref="G18:I18"/>
    <mergeCell ref="J18:L18"/>
    <mergeCell ref="M18:O18"/>
  </mergeCells>
  <phoneticPr fontId="15" type="noConversion"/>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62FB-34D8-46C0-8C83-DBFE920D7DCA}">
  <dimension ref="A1:O8"/>
  <sheetViews>
    <sheetView topLeftCell="A8" workbookViewId="0">
      <selection activeCell="B8" sqref="B8:G8"/>
    </sheetView>
  </sheetViews>
  <sheetFormatPr defaultRowHeight="15"/>
  <cols>
    <col min="2" max="2" width="50.5703125" customWidth="1"/>
  </cols>
  <sheetData>
    <row r="1" spans="1:15" ht="15.75" thickBot="1">
      <c r="A1" s="365" t="s">
        <v>167</v>
      </c>
      <c r="B1" s="276"/>
      <c r="C1" s="273">
        <v>2025</v>
      </c>
      <c r="D1" s="274"/>
      <c r="E1" s="274"/>
      <c r="F1" s="274"/>
      <c r="G1" s="274"/>
      <c r="H1" s="274"/>
      <c r="I1" s="274"/>
      <c r="J1" s="274"/>
      <c r="K1" s="274"/>
      <c r="L1" s="274"/>
      <c r="M1" s="274"/>
      <c r="N1" s="274"/>
      <c r="O1" s="274"/>
    </row>
    <row r="2" spans="1:15" ht="16.5" thickTop="1" thickBot="1">
      <c r="A2" s="240" t="s">
        <v>168</v>
      </c>
      <c r="B2" s="241"/>
      <c r="C2" s="2">
        <v>0</v>
      </c>
      <c r="D2" s="2">
        <v>0</v>
      </c>
      <c r="E2" s="2">
        <v>0</v>
      </c>
      <c r="F2" s="2">
        <v>0</v>
      </c>
      <c r="G2" s="2">
        <v>0</v>
      </c>
      <c r="H2" s="2">
        <v>0</v>
      </c>
      <c r="I2" s="28">
        <v>1E-3</v>
      </c>
      <c r="J2" s="2">
        <v>0</v>
      </c>
      <c r="K2" s="2">
        <v>0</v>
      </c>
      <c r="L2" s="3"/>
      <c r="M2" s="3"/>
      <c r="N2" s="3"/>
      <c r="O2" s="83">
        <f>MEDIAN(C2:N2)</f>
        <v>0</v>
      </c>
    </row>
    <row r="3" spans="1:15" ht="16.5" thickTop="1" thickBot="1">
      <c r="A3" s="240" t="s">
        <v>169</v>
      </c>
      <c r="B3" s="241"/>
      <c r="C3" s="4" t="s">
        <v>3</v>
      </c>
      <c r="D3" s="4" t="s">
        <v>4</v>
      </c>
      <c r="E3" s="4" t="s">
        <v>5</v>
      </c>
      <c r="F3" s="4" t="s">
        <v>6</v>
      </c>
      <c r="G3" s="4" t="s">
        <v>7</v>
      </c>
      <c r="H3" s="4" t="s">
        <v>8</v>
      </c>
      <c r="I3" s="4" t="s">
        <v>9</v>
      </c>
      <c r="J3" s="4" t="s">
        <v>10</v>
      </c>
      <c r="K3" s="4" t="s">
        <v>11</v>
      </c>
      <c r="L3" s="4" t="s">
        <v>12</v>
      </c>
      <c r="M3" s="4" t="s">
        <v>13</v>
      </c>
      <c r="N3" s="4" t="s">
        <v>14</v>
      </c>
      <c r="O3" s="81" t="s">
        <v>170</v>
      </c>
    </row>
    <row r="4" spans="1:15" ht="31.5" customHeight="1" thickTop="1" thickBot="1">
      <c r="A4" s="242" t="s">
        <v>171</v>
      </c>
      <c r="B4" s="243"/>
      <c r="C4" s="8">
        <v>0</v>
      </c>
      <c r="D4" s="8">
        <v>0</v>
      </c>
      <c r="E4" s="8">
        <v>0</v>
      </c>
      <c r="F4" s="8">
        <v>0</v>
      </c>
      <c r="G4" s="8">
        <v>0</v>
      </c>
      <c r="H4" s="8">
        <v>0</v>
      </c>
      <c r="I4" s="8">
        <v>1</v>
      </c>
      <c r="J4" s="8">
        <v>0</v>
      </c>
      <c r="K4" s="8">
        <v>0</v>
      </c>
      <c r="L4" s="8">
        <v>0</v>
      </c>
      <c r="M4" s="8">
        <v>0</v>
      </c>
      <c r="N4" s="8">
        <v>0</v>
      </c>
      <c r="O4" s="82">
        <f>MEDIAN(C4:N4)</f>
        <v>0</v>
      </c>
    </row>
    <row r="5" spans="1:15" ht="31.5" customHeight="1" thickTop="1" thickBot="1">
      <c r="A5" s="366" t="s">
        <v>60</v>
      </c>
      <c r="B5" s="367"/>
      <c r="C5" s="44">
        <v>1472</v>
      </c>
      <c r="D5" s="45">
        <v>1535</v>
      </c>
      <c r="E5" s="46">
        <v>1533</v>
      </c>
      <c r="F5" s="44">
        <v>1622</v>
      </c>
      <c r="G5" s="44">
        <v>1607</v>
      </c>
      <c r="H5" s="44">
        <v>1530</v>
      </c>
      <c r="I5" s="44">
        <v>1781</v>
      </c>
      <c r="J5" s="44">
        <v>1720</v>
      </c>
      <c r="K5" s="44">
        <v>1823</v>
      </c>
      <c r="L5" s="44">
        <v>0</v>
      </c>
      <c r="M5" s="44">
        <v>0</v>
      </c>
      <c r="N5" s="47">
        <v>0</v>
      </c>
      <c r="O5" s="82">
        <f>MEDIAN(C5:N5)</f>
        <v>1534</v>
      </c>
    </row>
    <row r="6" spans="1:15" ht="15.75" thickBot="1">
      <c r="A6" s="361" t="s">
        <v>61</v>
      </c>
      <c r="B6" s="362"/>
      <c r="C6" s="363"/>
      <c r="D6" s="364"/>
      <c r="E6" s="364"/>
      <c r="F6" s="364"/>
      <c r="G6" s="364"/>
      <c r="H6" s="364"/>
      <c r="I6" s="364"/>
      <c r="J6" s="364"/>
      <c r="K6" s="364"/>
      <c r="L6" s="364"/>
      <c r="M6" s="364"/>
      <c r="N6" s="364"/>
      <c r="O6" s="364"/>
    </row>
    <row r="7" spans="1:15">
      <c r="A7" s="139" t="s">
        <v>2</v>
      </c>
      <c r="B7" s="358" t="s">
        <v>20</v>
      </c>
      <c r="C7" s="359"/>
      <c r="D7" s="359"/>
      <c r="E7" s="359"/>
      <c r="F7" s="359"/>
      <c r="G7" s="359"/>
    </row>
    <row r="8" spans="1:15" ht="329.25" customHeight="1">
      <c r="A8" s="145" t="s">
        <v>9</v>
      </c>
      <c r="B8" s="360" t="s">
        <v>172</v>
      </c>
      <c r="C8" s="360"/>
      <c r="D8" s="360"/>
      <c r="E8" s="360"/>
      <c r="F8" s="360"/>
      <c r="G8" s="360"/>
    </row>
  </sheetData>
  <mergeCells count="10">
    <mergeCell ref="B7:G7"/>
    <mergeCell ref="B8:G8"/>
    <mergeCell ref="A6:B6"/>
    <mergeCell ref="C1:O1"/>
    <mergeCell ref="C6:O6"/>
    <mergeCell ref="A1:B1"/>
    <mergeCell ref="A2:B2"/>
    <mergeCell ref="A3:B3"/>
    <mergeCell ref="A4:B4"/>
    <mergeCell ref="A5:B5"/>
  </mergeCells>
  <phoneticPr fontId="15" type="noConversion"/>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AA8B-B03A-4D6C-9932-8A2929357442}">
  <dimension ref="A1:O19"/>
  <sheetViews>
    <sheetView workbookViewId="0">
      <selection activeCell="C6" sqref="C6:O6"/>
    </sheetView>
  </sheetViews>
  <sheetFormatPr defaultRowHeight="15"/>
  <cols>
    <col min="2" max="2" width="49.42578125" customWidth="1"/>
    <col min="15" max="15" width="10.7109375" customWidth="1"/>
  </cols>
  <sheetData>
    <row r="1" spans="1:15" ht="15.75" thickBot="1">
      <c r="A1" s="365" t="s">
        <v>0</v>
      </c>
      <c r="B1" s="276"/>
      <c r="C1" s="273">
        <v>2025</v>
      </c>
      <c r="D1" s="274"/>
      <c r="E1" s="274"/>
      <c r="F1" s="274"/>
      <c r="G1" s="274"/>
      <c r="H1" s="274"/>
      <c r="I1" s="274"/>
      <c r="J1" s="274"/>
      <c r="K1" s="274"/>
      <c r="L1" s="274"/>
      <c r="M1" s="274"/>
      <c r="N1" s="274"/>
      <c r="O1" s="274"/>
    </row>
    <row r="2" spans="1:15" ht="16.5" customHeight="1" thickTop="1" thickBot="1">
      <c r="A2" s="343" t="s">
        <v>173</v>
      </c>
      <c r="B2" s="344"/>
      <c r="C2" s="2">
        <v>1</v>
      </c>
      <c r="D2" s="2">
        <v>1</v>
      </c>
      <c r="E2" s="2">
        <v>1</v>
      </c>
      <c r="F2" s="2">
        <v>1</v>
      </c>
      <c r="G2" s="2">
        <v>1</v>
      </c>
      <c r="H2" s="2">
        <v>1</v>
      </c>
      <c r="I2" s="2">
        <v>1</v>
      </c>
      <c r="J2" s="2">
        <v>1</v>
      </c>
      <c r="K2" s="2">
        <v>1</v>
      </c>
      <c r="L2" s="3"/>
      <c r="M2" s="3"/>
      <c r="N2" s="3"/>
      <c r="O2" s="2">
        <f>MEDIAN(C2:N2)</f>
        <v>1</v>
      </c>
    </row>
    <row r="3" spans="1:15" ht="16.5" customHeight="1" thickTop="1" thickBot="1">
      <c r="A3" s="372" t="s">
        <v>169</v>
      </c>
      <c r="B3" s="373"/>
      <c r="C3" s="4" t="s">
        <v>3</v>
      </c>
      <c r="D3" s="4" t="s">
        <v>4</v>
      </c>
      <c r="E3" s="4" t="s">
        <v>5</v>
      </c>
      <c r="F3" s="4" t="s">
        <v>6</v>
      </c>
      <c r="G3" s="4" t="s">
        <v>7</v>
      </c>
      <c r="H3" s="4" t="s">
        <v>8</v>
      </c>
      <c r="I3" s="4" t="s">
        <v>9</v>
      </c>
      <c r="J3" s="4" t="s">
        <v>10</v>
      </c>
      <c r="K3" s="4" t="s">
        <v>11</v>
      </c>
      <c r="L3" s="4" t="s">
        <v>12</v>
      </c>
      <c r="M3" s="4" t="s">
        <v>13</v>
      </c>
      <c r="N3" s="4" t="s">
        <v>14</v>
      </c>
      <c r="O3" s="14" t="s">
        <v>125</v>
      </c>
    </row>
    <row r="4" spans="1:15" ht="27.75" customHeight="1" thickTop="1" thickBot="1">
      <c r="A4" s="242" t="s">
        <v>174</v>
      </c>
      <c r="B4" s="243"/>
      <c r="C4" s="5">
        <v>1472</v>
      </c>
      <c r="D4" s="5">
        <v>1535</v>
      </c>
      <c r="E4" s="5">
        <v>1533</v>
      </c>
      <c r="F4" s="5">
        <v>1622</v>
      </c>
      <c r="G4" s="5">
        <v>1607</v>
      </c>
      <c r="H4" s="5">
        <v>1530</v>
      </c>
      <c r="I4" s="5">
        <v>1781</v>
      </c>
      <c r="J4" s="5">
        <v>1720</v>
      </c>
      <c r="K4" s="5">
        <v>1823</v>
      </c>
      <c r="L4" s="5">
        <v>0</v>
      </c>
      <c r="M4" s="5">
        <v>0</v>
      </c>
      <c r="N4" s="5">
        <v>0</v>
      </c>
      <c r="O4" s="84">
        <f>MEDIAN(C4:N4)</f>
        <v>1534</v>
      </c>
    </row>
    <row r="5" spans="1:15" ht="27.75" customHeight="1" thickTop="1" thickBot="1">
      <c r="A5" s="242" t="s">
        <v>60</v>
      </c>
      <c r="B5" s="243"/>
      <c r="C5" s="6">
        <v>1472</v>
      </c>
      <c r="D5" s="6">
        <v>1535</v>
      </c>
      <c r="E5" s="6">
        <v>1533</v>
      </c>
      <c r="F5" s="6">
        <v>1622</v>
      </c>
      <c r="G5" s="6">
        <v>1607</v>
      </c>
      <c r="H5" s="6">
        <v>1530</v>
      </c>
      <c r="I5" s="6">
        <v>1781</v>
      </c>
      <c r="J5" s="6">
        <v>1720</v>
      </c>
      <c r="K5" s="6">
        <v>1823</v>
      </c>
      <c r="L5" s="6">
        <v>0</v>
      </c>
      <c r="M5" s="6">
        <v>0</v>
      </c>
      <c r="N5" s="6">
        <v>0</v>
      </c>
      <c r="O5" s="84">
        <f>MEDIAN(C5:N5)</f>
        <v>1534</v>
      </c>
    </row>
    <row r="6" spans="1:15" ht="16.5" thickTop="1" thickBot="1">
      <c r="A6" s="368" t="s">
        <v>61</v>
      </c>
      <c r="B6" s="369"/>
      <c r="C6" s="370"/>
      <c r="D6" s="371"/>
      <c r="E6" s="371"/>
      <c r="F6" s="371"/>
      <c r="G6" s="371"/>
      <c r="H6" s="371"/>
      <c r="I6" s="371"/>
      <c r="J6" s="371"/>
      <c r="K6" s="371"/>
      <c r="L6" s="371"/>
      <c r="M6" s="371"/>
      <c r="N6" s="371"/>
      <c r="O6" s="371"/>
    </row>
    <row r="7" spans="1:15" ht="15.75" thickBot="1">
      <c r="A7" s="169" t="s">
        <v>2</v>
      </c>
      <c r="B7" s="293" t="s">
        <v>20</v>
      </c>
      <c r="C7" s="294"/>
      <c r="D7" s="295" t="s">
        <v>21</v>
      </c>
      <c r="E7" s="296"/>
      <c r="F7" s="297"/>
      <c r="G7" s="298" t="s">
        <v>22</v>
      </c>
      <c r="H7" s="299"/>
      <c r="I7" s="300"/>
      <c r="J7" s="301" t="s">
        <v>23</v>
      </c>
      <c r="K7" s="302"/>
      <c r="L7" s="303"/>
      <c r="M7" s="304" t="s">
        <v>24</v>
      </c>
      <c r="N7" s="305"/>
      <c r="O7" s="306"/>
    </row>
    <row r="8" spans="1:15" ht="15.75" thickBot="1">
      <c r="A8" s="50" t="s">
        <v>63</v>
      </c>
      <c r="B8" s="307"/>
      <c r="C8" s="308"/>
      <c r="D8" s="309"/>
      <c r="E8" s="310"/>
      <c r="F8" s="311"/>
      <c r="G8" s="309"/>
      <c r="H8" s="310"/>
      <c r="I8" s="311"/>
      <c r="J8" s="309"/>
      <c r="K8" s="310"/>
      <c r="L8" s="311"/>
      <c r="M8" s="309"/>
      <c r="N8" s="310"/>
      <c r="O8" s="311"/>
    </row>
    <row r="9" spans="1:15" ht="15.75" thickBot="1">
      <c r="A9" s="50" t="s">
        <v>69</v>
      </c>
      <c r="B9" s="307"/>
      <c r="C9" s="308"/>
      <c r="D9" s="309"/>
      <c r="E9" s="310"/>
      <c r="F9" s="311"/>
      <c r="G9" s="309"/>
      <c r="H9" s="310"/>
      <c r="I9" s="311"/>
      <c r="J9" s="309"/>
      <c r="K9" s="310"/>
      <c r="L9" s="311"/>
      <c r="M9" s="309"/>
      <c r="N9" s="310"/>
      <c r="O9" s="311"/>
    </row>
    <row r="10" spans="1:15" ht="15.75" thickBot="1">
      <c r="A10" s="50" t="s">
        <v>71</v>
      </c>
      <c r="B10" s="307"/>
      <c r="C10" s="308"/>
      <c r="D10" s="309"/>
      <c r="E10" s="310"/>
      <c r="F10" s="311"/>
      <c r="G10" s="309"/>
      <c r="H10" s="310"/>
      <c r="I10" s="311"/>
      <c r="J10" s="309"/>
      <c r="K10" s="310"/>
      <c r="L10" s="311"/>
      <c r="M10" s="309"/>
      <c r="N10" s="310"/>
      <c r="O10" s="311"/>
    </row>
    <row r="11" spans="1:15" ht="15.75" thickBot="1">
      <c r="A11" s="50" t="s">
        <v>73</v>
      </c>
      <c r="B11" s="307"/>
      <c r="C11" s="308"/>
      <c r="D11" s="309"/>
      <c r="E11" s="310"/>
      <c r="F11" s="311"/>
      <c r="G11" s="309"/>
      <c r="H11" s="310"/>
      <c r="I11" s="311"/>
      <c r="J11" s="309"/>
      <c r="K11" s="310"/>
      <c r="L11" s="311"/>
      <c r="M11" s="309"/>
      <c r="N11" s="310"/>
      <c r="O11" s="311"/>
    </row>
    <row r="12" spans="1:15" ht="15.75" thickBot="1">
      <c r="A12" s="50" t="s">
        <v>79</v>
      </c>
      <c r="B12" s="307"/>
      <c r="C12" s="308"/>
      <c r="D12" s="309"/>
      <c r="E12" s="310"/>
      <c r="F12" s="311"/>
      <c r="G12" s="309"/>
      <c r="H12" s="310"/>
      <c r="I12" s="311"/>
      <c r="J12" s="309"/>
      <c r="K12" s="310"/>
      <c r="L12" s="311"/>
      <c r="M12" s="309"/>
      <c r="N12" s="310"/>
      <c r="O12" s="311"/>
    </row>
    <row r="13" spans="1:15" ht="15.75" thickBot="1">
      <c r="A13" s="50" t="s">
        <v>81</v>
      </c>
      <c r="B13" s="307"/>
      <c r="C13" s="308"/>
      <c r="D13" s="309"/>
      <c r="E13" s="310"/>
      <c r="F13" s="311"/>
      <c r="G13" s="309"/>
      <c r="H13" s="310"/>
      <c r="I13" s="311"/>
      <c r="J13" s="309"/>
      <c r="K13" s="310"/>
      <c r="L13" s="311"/>
      <c r="M13" s="309"/>
      <c r="N13" s="310"/>
      <c r="O13" s="311"/>
    </row>
    <row r="14" spans="1:15" ht="15.75" thickBot="1">
      <c r="A14" s="50" t="s">
        <v>37</v>
      </c>
      <c r="B14" s="307"/>
      <c r="C14" s="308"/>
      <c r="D14" s="309"/>
      <c r="E14" s="310"/>
      <c r="F14" s="311"/>
      <c r="G14" s="309"/>
      <c r="H14" s="310"/>
      <c r="I14" s="311"/>
      <c r="J14" s="309"/>
      <c r="K14" s="310"/>
      <c r="L14" s="311"/>
      <c r="M14" s="309"/>
      <c r="N14" s="310"/>
      <c r="O14" s="311"/>
    </row>
    <row r="15" spans="1:15" ht="15.75" thickBot="1">
      <c r="A15" s="50" t="s">
        <v>43</v>
      </c>
      <c r="B15" s="307"/>
      <c r="C15" s="308"/>
      <c r="D15" s="309"/>
      <c r="E15" s="310"/>
      <c r="F15" s="311"/>
      <c r="G15" s="309"/>
      <c r="H15" s="310"/>
      <c r="I15" s="311"/>
      <c r="J15" s="309"/>
      <c r="K15" s="310"/>
      <c r="L15" s="311"/>
      <c r="M15" s="309"/>
      <c r="N15" s="310"/>
      <c r="O15" s="311"/>
    </row>
    <row r="16" spans="1:15" ht="15.75" thickBot="1">
      <c r="A16" s="50" t="s">
        <v>49</v>
      </c>
      <c r="B16" s="307"/>
      <c r="C16" s="308"/>
      <c r="D16" s="309"/>
      <c r="E16" s="310"/>
      <c r="F16" s="311"/>
      <c r="G16" s="309"/>
      <c r="H16" s="310"/>
      <c r="I16" s="311"/>
      <c r="J16" s="309"/>
      <c r="K16" s="310"/>
      <c r="L16" s="311"/>
      <c r="M16" s="309"/>
      <c r="N16" s="310"/>
      <c r="O16" s="311"/>
    </row>
    <row r="17" spans="1:15" ht="15.75" thickBot="1">
      <c r="A17" s="50" t="s">
        <v>55</v>
      </c>
      <c r="B17" s="307"/>
      <c r="C17" s="308"/>
      <c r="D17" s="309"/>
      <c r="E17" s="310"/>
      <c r="F17" s="311"/>
      <c r="G17" s="309"/>
      <c r="H17" s="310"/>
      <c r="I17" s="311"/>
      <c r="J17" s="309"/>
      <c r="K17" s="310"/>
      <c r="L17" s="311"/>
      <c r="M17" s="309"/>
      <c r="N17" s="310"/>
      <c r="O17" s="311"/>
    </row>
    <row r="18" spans="1:15" ht="15.75" thickBot="1">
      <c r="A18" s="50" t="s">
        <v>56</v>
      </c>
      <c r="B18" s="307"/>
      <c r="C18" s="308"/>
      <c r="D18" s="309"/>
      <c r="E18" s="310"/>
      <c r="F18" s="311"/>
      <c r="G18" s="309"/>
      <c r="H18" s="310"/>
      <c r="I18" s="311"/>
      <c r="J18" s="309"/>
      <c r="K18" s="310"/>
      <c r="L18" s="311"/>
      <c r="M18" s="309"/>
      <c r="N18" s="310"/>
      <c r="O18" s="311"/>
    </row>
    <row r="19" spans="1:15" ht="15.75" thickBot="1">
      <c r="A19" s="50" t="s">
        <v>57</v>
      </c>
      <c r="B19" s="307"/>
      <c r="C19" s="308"/>
      <c r="D19" s="309"/>
      <c r="E19" s="310"/>
      <c r="F19" s="311"/>
      <c r="G19" s="309"/>
      <c r="H19" s="310"/>
      <c r="I19" s="311"/>
      <c r="J19" s="309"/>
      <c r="K19" s="310"/>
      <c r="L19" s="311"/>
      <c r="M19" s="309"/>
      <c r="N19" s="310"/>
      <c r="O19" s="311"/>
    </row>
  </sheetData>
  <mergeCells count="73">
    <mergeCell ref="A6:B6"/>
    <mergeCell ref="C1:O1"/>
    <mergeCell ref="C6:O6"/>
    <mergeCell ref="A1:B1"/>
    <mergeCell ref="A2:B2"/>
    <mergeCell ref="A3:B3"/>
    <mergeCell ref="A4:B4"/>
    <mergeCell ref="A5:B5"/>
    <mergeCell ref="B9:C9"/>
    <mergeCell ref="D9:F9"/>
    <mergeCell ref="G9:I9"/>
    <mergeCell ref="J9:L9"/>
    <mergeCell ref="M9:O9"/>
    <mergeCell ref="B8:C8"/>
    <mergeCell ref="D8:F8"/>
    <mergeCell ref="G8:I8"/>
    <mergeCell ref="J8:L8"/>
    <mergeCell ref="M8:O8"/>
    <mergeCell ref="B11:C11"/>
    <mergeCell ref="D11:F11"/>
    <mergeCell ref="G11:I11"/>
    <mergeCell ref="J11:L11"/>
    <mergeCell ref="M11:O11"/>
    <mergeCell ref="B10:C10"/>
    <mergeCell ref="D10:F10"/>
    <mergeCell ref="G10:I10"/>
    <mergeCell ref="J10:L10"/>
    <mergeCell ref="M10:O10"/>
    <mergeCell ref="B13:C13"/>
    <mergeCell ref="D13:F13"/>
    <mergeCell ref="G13:I13"/>
    <mergeCell ref="J13:L13"/>
    <mergeCell ref="M13:O13"/>
    <mergeCell ref="B12:C12"/>
    <mergeCell ref="D12:F12"/>
    <mergeCell ref="G12:I12"/>
    <mergeCell ref="J12:L12"/>
    <mergeCell ref="M12:O12"/>
    <mergeCell ref="B15:C15"/>
    <mergeCell ref="D15:F15"/>
    <mergeCell ref="G15:I15"/>
    <mergeCell ref="J15:L15"/>
    <mergeCell ref="M15:O15"/>
    <mergeCell ref="B14:C14"/>
    <mergeCell ref="D14:F14"/>
    <mergeCell ref="G14:I14"/>
    <mergeCell ref="J14:L14"/>
    <mergeCell ref="M14:O14"/>
    <mergeCell ref="B17:C17"/>
    <mergeCell ref="D17:F17"/>
    <mergeCell ref="G17:I17"/>
    <mergeCell ref="J17:L17"/>
    <mergeCell ref="M17:O17"/>
    <mergeCell ref="B16:C16"/>
    <mergeCell ref="D16:F16"/>
    <mergeCell ref="G16:I16"/>
    <mergeCell ref="J16:L16"/>
    <mergeCell ref="M16:O16"/>
    <mergeCell ref="B19:C19"/>
    <mergeCell ref="D19:F19"/>
    <mergeCell ref="G19:I19"/>
    <mergeCell ref="J19:L19"/>
    <mergeCell ref="M19:O19"/>
    <mergeCell ref="B18:C18"/>
    <mergeCell ref="D18:F18"/>
    <mergeCell ref="G18:I18"/>
    <mergeCell ref="J18:L18"/>
    <mergeCell ref="M18:O18"/>
    <mergeCell ref="M7:O7"/>
    <mergeCell ref="J7:L7"/>
    <mergeCell ref="G7:I7"/>
    <mergeCell ref="D7:F7"/>
    <mergeCell ref="B7:C7"/>
  </mergeCells>
  <phoneticPr fontId="15" type="noConversion"/>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A3CCA-BDDF-4FEB-AEFD-740D34210A47}">
  <dimension ref="A1:O19"/>
  <sheetViews>
    <sheetView workbookViewId="0">
      <selection activeCell="C4" sqref="C4:K4"/>
    </sheetView>
  </sheetViews>
  <sheetFormatPr defaultRowHeight="15"/>
  <cols>
    <col min="1" max="1" width="14.5703125" customWidth="1"/>
    <col min="2" max="2" width="55.85546875" customWidth="1"/>
    <col min="15" max="15" width="10" style="18" customWidth="1"/>
  </cols>
  <sheetData>
    <row r="1" spans="1:15" ht="15.75" thickBot="1">
      <c r="A1" s="380" t="s">
        <v>167</v>
      </c>
      <c r="B1" s="381"/>
      <c r="C1" s="376">
        <v>2025</v>
      </c>
      <c r="D1" s="377"/>
      <c r="E1" s="377"/>
      <c r="F1" s="377"/>
      <c r="G1" s="377"/>
      <c r="H1" s="377"/>
      <c r="I1" s="377"/>
      <c r="J1" s="377"/>
      <c r="K1" s="377"/>
      <c r="L1" s="377"/>
      <c r="M1" s="377"/>
      <c r="N1" s="377"/>
      <c r="O1" s="377"/>
    </row>
    <row r="2" spans="1:15" ht="16.5" thickTop="1" thickBot="1">
      <c r="A2" s="240" t="s">
        <v>175</v>
      </c>
      <c r="B2" s="241"/>
      <c r="C2" s="16">
        <f>C4/C5</f>
        <v>0</v>
      </c>
      <c r="D2" s="16">
        <f t="shared" ref="D2:K2" si="0">D4/D5</f>
        <v>0</v>
      </c>
      <c r="E2" s="16">
        <f t="shared" si="0"/>
        <v>0</v>
      </c>
      <c r="F2" s="16">
        <f t="shared" si="0"/>
        <v>0</v>
      </c>
      <c r="G2" s="100">
        <f t="shared" si="0"/>
        <v>2.1231422505307855E-3</v>
      </c>
      <c r="H2" s="16">
        <f t="shared" si="0"/>
        <v>0</v>
      </c>
      <c r="I2" s="16">
        <f t="shared" si="0"/>
        <v>0</v>
      </c>
      <c r="J2" s="100">
        <f t="shared" si="0"/>
        <v>5.6390977443609019E-3</v>
      </c>
      <c r="K2" s="100">
        <f t="shared" si="0"/>
        <v>5.5350553505535052E-3</v>
      </c>
      <c r="L2" s="3"/>
      <c r="M2" s="3"/>
      <c r="N2" s="3"/>
      <c r="O2" s="121">
        <f>MEDIAN(C2:N2)</f>
        <v>0</v>
      </c>
    </row>
    <row r="3" spans="1:15">
      <c r="A3" s="378" t="s">
        <v>2</v>
      </c>
      <c r="B3" s="379"/>
      <c r="C3" s="4" t="s">
        <v>3</v>
      </c>
      <c r="D3" s="4" t="s">
        <v>4</v>
      </c>
      <c r="E3" s="4" t="s">
        <v>5</v>
      </c>
      <c r="F3" s="4" t="s">
        <v>6</v>
      </c>
      <c r="G3" s="4" t="s">
        <v>7</v>
      </c>
      <c r="H3" s="4" t="s">
        <v>8</v>
      </c>
      <c r="I3" s="4" t="s">
        <v>9</v>
      </c>
      <c r="J3" s="4" t="s">
        <v>10</v>
      </c>
      <c r="K3" s="4" t="s">
        <v>11</v>
      </c>
      <c r="L3" s="4" t="s">
        <v>12</v>
      </c>
      <c r="M3" s="4" t="s">
        <v>13</v>
      </c>
      <c r="N3" s="4" t="s">
        <v>14</v>
      </c>
      <c r="O3" s="30" t="s">
        <v>125</v>
      </c>
    </row>
    <row r="4" spans="1:15" ht="33" customHeight="1">
      <c r="A4" s="242" t="s">
        <v>176</v>
      </c>
      <c r="B4" s="243"/>
      <c r="C4" s="5">
        <v>0</v>
      </c>
      <c r="D4" s="5">
        <v>0</v>
      </c>
      <c r="E4" s="5">
        <v>0</v>
      </c>
      <c r="F4" s="5">
        <v>0</v>
      </c>
      <c r="G4" s="5">
        <v>1</v>
      </c>
      <c r="H4" s="5">
        <v>0</v>
      </c>
      <c r="I4" s="5">
        <v>0</v>
      </c>
      <c r="J4" s="5">
        <v>3</v>
      </c>
      <c r="K4" s="5">
        <v>3</v>
      </c>
      <c r="L4" s="29"/>
      <c r="M4" s="29"/>
      <c r="N4" s="29"/>
      <c r="O4" s="48">
        <f>MEDIAN(C4:N4)</f>
        <v>0</v>
      </c>
    </row>
    <row r="5" spans="1:15" ht="33" customHeight="1">
      <c r="A5" s="242" t="s">
        <v>177</v>
      </c>
      <c r="B5" s="243"/>
      <c r="C5" s="6">
        <v>473</v>
      </c>
      <c r="D5" s="6">
        <v>462</v>
      </c>
      <c r="E5" s="6">
        <v>444</v>
      </c>
      <c r="F5" s="6">
        <v>510</v>
      </c>
      <c r="G5" s="6">
        <v>471</v>
      </c>
      <c r="H5" s="6">
        <v>473</v>
      </c>
      <c r="I5" s="6">
        <v>538</v>
      </c>
      <c r="J5" s="6">
        <v>532</v>
      </c>
      <c r="K5" s="6">
        <v>542</v>
      </c>
      <c r="L5" s="6">
        <v>0</v>
      </c>
      <c r="M5" s="6">
        <v>0</v>
      </c>
      <c r="N5" s="6">
        <v>0</v>
      </c>
      <c r="O5" s="48">
        <f>MEDIAN(C5:N5)</f>
        <v>472</v>
      </c>
    </row>
    <row r="6" spans="1:15" ht="16.5" thickTop="1" thickBot="1">
      <c r="A6" s="374" t="s">
        <v>61</v>
      </c>
      <c r="B6" s="375"/>
      <c r="C6" s="382"/>
      <c r="D6" s="383"/>
      <c r="E6" s="383"/>
      <c r="F6" s="383"/>
      <c r="G6" s="383"/>
      <c r="H6" s="383"/>
      <c r="I6" s="383"/>
      <c r="J6" s="383"/>
      <c r="K6" s="383"/>
      <c r="L6" s="383"/>
      <c r="M6" s="383"/>
      <c r="N6" s="383"/>
      <c r="O6" s="383"/>
    </row>
    <row r="7" spans="1:15" ht="15.75" thickBot="1">
      <c r="A7" s="169" t="s">
        <v>2</v>
      </c>
      <c r="B7" s="178" t="s">
        <v>20</v>
      </c>
      <c r="C7" s="178"/>
      <c r="D7" s="179" t="s">
        <v>21</v>
      </c>
      <c r="E7" s="179"/>
      <c r="F7" s="179"/>
      <c r="G7" s="180" t="s">
        <v>22</v>
      </c>
      <c r="H7" s="180"/>
      <c r="I7" s="180"/>
      <c r="J7" s="181" t="s">
        <v>23</v>
      </c>
      <c r="K7" s="181"/>
      <c r="L7" s="181"/>
      <c r="M7" s="182" t="s">
        <v>24</v>
      </c>
      <c r="N7" s="182"/>
      <c r="O7" s="182"/>
    </row>
    <row r="8" spans="1:15" ht="15.75" thickBot="1">
      <c r="A8" s="50" t="s">
        <v>63</v>
      </c>
      <c r="B8" s="235"/>
      <c r="C8" s="235"/>
      <c r="D8" s="186"/>
      <c r="E8" s="186"/>
      <c r="F8" s="186"/>
      <c r="G8" s="186"/>
      <c r="H8" s="186"/>
      <c r="I8" s="186"/>
      <c r="J8" s="186"/>
      <c r="K8" s="186"/>
      <c r="L8" s="186"/>
      <c r="M8" s="186"/>
      <c r="N8" s="186"/>
      <c r="O8" s="186"/>
    </row>
    <row r="9" spans="1:15" ht="15.75" thickBot="1">
      <c r="A9" s="50" t="s">
        <v>69</v>
      </c>
      <c r="B9" s="235"/>
      <c r="C9" s="235"/>
      <c r="D9" s="186"/>
      <c r="E9" s="186"/>
      <c r="F9" s="186"/>
      <c r="G9" s="186"/>
      <c r="H9" s="186"/>
      <c r="I9" s="186"/>
      <c r="J9" s="186"/>
      <c r="K9" s="186"/>
      <c r="L9" s="186"/>
      <c r="M9" s="186"/>
      <c r="N9" s="186"/>
      <c r="O9" s="186"/>
    </row>
    <row r="10" spans="1:15" ht="15.75" thickBot="1">
      <c r="A10" s="50" t="s">
        <v>71</v>
      </c>
      <c r="B10" s="235"/>
      <c r="C10" s="235"/>
      <c r="D10" s="186"/>
      <c r="E10" s="186"/>
      <c r="F10" s="186"/>
      <c r="G10" s="186"/>
      <c r="H10" s="186"/>
      <c r="I10" s="186"/>
      <c r="J10" s="186"/>
      <c r="K10" s="186"/>
      <c r="L10" s="186"/>
      <c r="M10" s="186"/>
      <c r="N10" s="186"/>
      <c r="O10" s="186"/>
    </row>
    <row r="11" spans="1:15" ht="15.75" thickBot="1">
      <c r="A11" s="50" t="s">
        <v>73</v>
      </c>
      <c r="B11" s="235"/>
      <c r="C11" s="235"/>
      <c r="D11" s="186"/>
      <c r="E11" s="186"/>
      <c r="F11" s="186"/>
      <c r="G11" s="186"/>
      <c r="H11" s="186"/>
      <c r="I11" s="186"/>
      <c r="J11" s="186"/>
      <c r="K11" s="186"/>
      <c r="L11" s="186"/>
      <c r="M11" s="186"/>
      <c r="N11" s="186"/>
      <c r="O11" s="186"/>
    </row>
    <row r="12" spans="1:15" ht="15.75" thickBot="1">
      <c r="A12" s="50" t="s">
        <v>79</v>
      </c>
      <c r="B12" s="235"/>
      <c r="C12" s="235"/>
      <c r="D12" s="186"/>
      <c r="E12" s="186"/>
      <c r="F12" s="186"/>
      <c r="G12" s="186"/>
      <c r="H12" s="186"/>
      <c r="I12" s="186"/>
      <c r="J12" s="186"/>
      <c r="K12" s="186"/>
      <c r="L12" s="186"/>
      <c r="M12" s="186"/>
      <c r="N12" s="186"/>
      <c r="O12" s="186"/>
    </row>
    <row r="13" spans="1:15" ht="15.75" thickBot="1">
      <c r="A13" s="50" t="s">
        <v>81</v>
      </c>
      <c r="B13" s="235"/>
      <c r="C13" s="235"/>
      <c r="D13" s="186"/>
      <c r="E13" s="186"/>
      <c r="F13" s="186"/>
      <c r="G13" s="186"/>
      <c r="H13" s="186"/>
      <c r="I13" s="186"/>
      <c r="J13" s="186"/>
      <c r="K13" s="186"/>
      <c r="L13" s="186"/>
      <c r="M13" s="186"/>
      <c r="N13" s="186"/>
      <c r="O13" s="186"/>
    </row>
    <row r="14" spans="1:15" ht="15.75" thickBot="1">
      <c r="A14" s="50" t="s">
        <v>37</v>
      </c>
      <c r="B14" s="235"/>
      <c r="C14" s="235"/>
      <c r="D14" s="186"/>
      <c r="E14" s="186"/>
      <c r="F14" s="186"/>
      <c r="G14" s="186"/>
      <c r="H14" s="186"/>
      <c r="I14" s="186"/>
      <c r="J14" s="186"/>
      <c r="K14" s="186"/>
      <c r="L14" s="186"/>
      <c r="M14" s="186"/>
      <c r="N14" s="186"/>
      <c r="O14" s="186"/>
    </row>
    <row r="15" spans="1:15" ht="15.75" thickBot="1">
      <c r="A15" s="50" t="s">
        <v>43</v>
      </c>
      <c r="B15" s="235"/>
      <c r="C15" s="235"/>
      <c r="D15" s="186"/>
      <c r="E15" s="186"/>
      <c r="F15" s="186"/>
      <c r="G15" s="186"/>
      <c r="H15" s="186"/>
      <c r="I15" s="186"/>
      <c r="J15" s="186"/>
      <c r="K15" s="186"/>
      <c r="L15" s="186"/>
      <c r="M15" s="186"/>
      <c r="N15" s="186"/>
      <c r="O15" s="186"/>
    </row>
    <row r="16" spans="1:15" ht="15.75" thickBot="1">
      <c r="A16" s="50" t="s">
        <v>49</v>
      </c>
      <c r="B16" s="235"/>
      <c r="C16" s="235"/>
      <c r="D16" s="186"/>
      <c r="E16" s="186"/>
      <c r="F16" s="186"/>
      <c r="G16" s="186"/>
      <c r="H16" s="186"/>
      <c r="I16" s="186"/>
      <c r="J16" s="186"/>
      <c r="K16" s="186"/>
      <c r="L16" s="186"/>
      <c r="M16" s="186"/>
      <c r="N16" s="186"/>
      <c r="O16" s="186"/>
    </row>
    <row r="17" spans="1:15" ht="15.75" thickBot="1">
      <c r="A17" s="50" t="s">
        <v>55</v>
      </c>
      <c r="B17" s="235"/>
      <c r="C17" s="235"/>
      <c r="D17" s="186"/>
      <c r="E17" s="186"/>
      <c r="F17" s="186"/>
      <c r="G17" s="186"/>
      <c r="H17" s="186"/>
      <c r="I17" s="186"/>
      <c r="J17" s="186"/>
      <c r="K17" s="186"/>
      <c r="L17" s="186"/>
      <c r="M17" s="186"/>
      <c r="N17" s="186"/>
      <c r="O17" s="186"/>
    </row>
    <row r="18" spans="1:15" ht="15.75" thickBot="1">
      <c r="A18" s="50" t="s">
        <v>56</v>
      </c>
      <c r="B18" s="235"/>
      <c r="C18" s="235"/>
      <c r="D18" s="186"/>
      <c r="E18" s="186"/>
      <c r="F18" s="186"/>
      <c r="G18" s="186"/>
      <c r="H18" s="186"/>
      <c r="I18" s="186"/>
      <c r="J18" s="186"/>
      <c r="K18" s="186"/>
      <c r="L18" s="186"/>
      <c r="M18" s="186"/>
      <c r="N18" s="186"/>
      <c r="O18" s="186"/>
    </row>
    <row r="19" spans="1:15" ht="15.75" thickBot="1">
      <c r="A19" s="50" t="s">
        <v>57</v>
      </c>
      <c r="B19" s="235"/>
      <c r="C19" s="235"/>
      <c r="D19" s="186"/>
      <c r="E19" s="186"/>
      <c r="F19" s="186"/>
      <c r="G19" s="186"/>
      <c r="H19" s="186"/>
      <c r="I19" s="186"/>
      <c r="J19" s="186"/>
      <c r="K19" s="186"/>
      <c r="L19" s="186"/>
      <c r="M19" s="186"/>
      <c r="N19" s="186"/>
      <c r="O19" s="186"/>
    </row>
  </sheetData>
  <mergeCells count="73">
    <mergeCell ref="A6:B6"/>
    <mergeCell ref="C1:O1"/>
    <mergeCell ref="A3:B3"/>
    <mergeCell ref="A2:B2"/>
    <mergeCell ref="A1:B1"/>
    <mergeCell ref="A4:B4"/>
    <mergeCell ref="A5:B5"/>
    <mergeCell ref="C6:O6"/>
    <mergeCell ref="B8:C8"/>
    <mergeCell ref="D8:F8"/>
    <mergeCell ref="G8:I8"/>
    <mergeCell ref="J8:L8"/>
    <mergeCell ref="M8:O8"/>
    <mergeCell ref="B7:C7"/>
    <mergeCell ref="D7:F7"/>
    <mergeCell ref="G7:I7"/>
    <mergeCell ref="J7:L7"/>
    <mergeCell ref="M7:O7"/>
    <mergeCell ref="B10:C10"/>
    <mergeCell ref="D10:F10"/>
    <mergeCell ref="G10:I10"/>
    <mergeCell ref="J10:L10"/>
    <mergeCell ref="M10:O10"/>
    <mergeCell ref="B9:C9"/>
    <mergeCell ref="D9:F9"/>
    <mergeCell ref="G9:I9"/>
    <mergeCell ref="J9:L9"/>
    <mergeCell ref="M9:O9"/>
    <mergeCell ref="B12:C12"/>
    <mergeCell ref="D12:F12"/>
    <mergeCell ref="G12:I12"/>
    <mergeCell ref="J12:L12"/>
    <mergeCell ref="M12:O12"/>
    <mergeCell ref="B11:C11"/>
    <mergeCell ref="D11:F11"/>
    <mergeCell ref="G11:I11"/>
    <mergeCell ref="J11:L11"/>
    <mergeCell ref="M11:O11"/>
    <mergeCell ref="B14:C14"/>
    <mergeCell ref="D14:F14"/>
    <mergeCell ref="G14:I14"/>
    <mergeCell ref="J14:L14"/>
    <mergeCell ref="M14:O14"/>
    <mergeCell ref="B13:C13"/>
    <mergeCell ref="D13:F13"/>
    <mergeCell ref="G13:I13"/>
    <mergeCell ref="J13:L13"/>
    <mergeCell ref="M13:O13"/>
    <mergeCell ref="B18:C18"/>
    <mergeCell ref="D18:F18"/>
    <mergeCell ref="G18:I18"/>
    <mergeCell ref="J18:L18"/>
    <mergeCell ref="M18:O18"/>
    <mergeCell ref="B17:C17"/>
    <mergeCell ref="D17:F17"/>
    <mergeCell ref="G17:I17"/>
    <mergeCell ref="J17:L17"/>
    <mergeCell ref="M17:O17"/>
    <mergeCell ref="B15:C15"/>
    <mergeCell ref="D15:F15"/>
    <mergeCell ref="G15:I15"/>
    <mergeCell ref="J15:L15"/>
    <mergeCell ref="M15:O15"/>
    <mergeCell ref="B16:C16"/>
    <mergeCell ref="D16:F16"/>
    <mergeCell ref="G16:I16"/>
    <mergeCell ref="J16:L16"/>
    <mergeCell ref="M16:O16"/>
    <mergeCell ref="B19:C19"/>
    <mergeCell ref="D19:F19"/>
    <mergeCell ref="G19:I19"/>
    <mergeCell ref="J19:L19"/>
    <mergeCell ref="M19:O19"/>
  </mergeCells>
  <phoneticPr fontId="15" type="noConversion"/>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28017-00E4-4F6C-8937-1DFD1F6C7CE8}">
  <dimension ref="A1:O19"/>
  <sheetViews>
    <sheetView workbookViewId="0">
      <selection activeCell="G10" sqref="G10:I10"/>
    </sheetView>
  </sheetViews>
  <sheetFormatPr defaultRowHeight="15"/>
  <cols>
    <col min="1" max="1" width="15.42578125" customWidth="1"/>
    <col min="2" max="2" width="61.5703125" customWidth="1"/>
  </cols>
  <sheetData>
    <row r="1" spans="1:15" ht="15.75" thickBot="1">
      <c r="A1" s="388" t="s">
        <v>0</v>
      </c>
      <c r="B1" s="389"/>
      <c r="C1" s="273">
        <v>2025</v>
      </c>
      <c r="D1" s="274"/>
      <c r="E1" s="274"/>
      <c r="F1" s="274"/>
      <c r="G1" s="274"/>
      <c r="H1" s="274"/>
      <c r="I1" s="274"/>
      <c r="J1" s="274"/>
      <c r="K1" s="274"/>
      <c r="L1" s="274"/>
      <c r="M1" s="274"/>
      <c r="N1" s="274"/>
      <c r="O1" s="274"/>
    </row>
    <row r="2" spans="1:15" ht="16.5" thickTop="1" thickBot="1">
      <c r="A2" s="240" t="s">
        <v>178</v>
      </c>
      <c r="B2" s="241"/>
      <c r="C2" s="16">
        <f>C4/C5</f>
        <v>5.1843317972350228E-2</v>
      </c>
      <c r="D2" s="16">
        <f t="shared" ref="D2:K2" si="0">D4/D5</f>
        <v>5.8378378378378379E-2</v>
      </c>
      <c r="E2" s="16">
        <f t="shared" si="0"/>
        <v>6.3321385902031069E-2</v>
      </c>
      <c r="F2" s="16">
        <f t="shared" si="0"/>
        <v>4.5263157894736845E-2</v>
      </c>
      <c r="G2" s="16">
        <f t="shared" si="0"/>
        <v>6.4189189189189186E-2</v>
      </c>
      <c r="H2" s="16">
        <f t="shared" si="0"/>
        <v>5.4466230936819175E-2</v>
      </c>
      <c r="I2" s="16">
        <f t="shared" si="0"/>
        <v>5.8341862845445243E-2</v>
      </c>
      <c r="J2" s="16">
        <f t="shared" si="0"/>
        <v>5.2465897166841552E-2</v>
      </c>
      <c r="K2" s="16">
        <f t="shared" si="0"/>
        <v>3.9274924471299093E-2</v>
      </c>
      <c r="L2" s="16"/>
      <c r="M2" s="16"/>
      <c r="N2" s="16"/>
      <c r="O2" s="101">
        <f>MEDIAN(C2:N2)</f>
        <v>5.4466230936819175E-2</v>
      </c>
    </row>
    <row r="3" spans="1:15" ht="16.5" thickTop="1" thickBot="1">
      <c r="A3" s="390" t="s">
        <v>179</v>
      </c>
      <c r="B3" s="391"/>
      <c r="C3" s="4" t="s">
        <v>3</v>
      </c>
      <c r="D3" s="4" t="s">
        <v>4</v>
      </c>
      <c r="E3" s="4" t="s">
        <v>5</v>
      </c>
      <c r="F3" s="4" t="s">
        <v>6</v>
      </c>
      <c r="G3" s="4" t="s">
        <v>7</v>
      </c>
      <c r="H3" s="4" t="s">
        <v>8</v>
      </c>
      <c r="I3" s="4" t="s">
        <v>9</v>
      </c>
      <c r="J3" s="4" t="s">
        <v>10</v>
      </c>
      <c r="K3" s="4" t="s">
        <v>11</v>
      </c>
      <c r="L3" s="4" t="s">
        <v>12</v>
      </c>
      <c r="M3" s="4" t="s">
        <v>13</v>
      </c>
      <c r="N3" s="4" t="s">
        <v>14</v>
      </c>
      <c r="O3" s="49" t="s">
        <v>125</v>
      </c>
    </row>
    <row r="4" spans="1:15" ht="30.75" customHeight="1" thickTop="1" thickBot="1">
      <c r="A4" s="384" t="s">
        <v>180</v>
      </c>
      <c r="B4" s="384"/>
      <c r="C4" s="33">
        <v>45</v>
      </c>
      <c r="D4" s="5">
        <v>54</v>
      </c>
      <c r="E4" s="5">
        <v>53</v>
      </c>
      <c r="F4" s="5">
        <v>43</v>
      </c>
      <c r="G4" s="5">
        <v>57</v>
      </c>
      <c r="H4" s="5">
        <v>50</v>
      </c>
      <c r="I4" s="5">
        <v>57</v>
      </c>
      <c r="J4" s="5">
        <v>50</v>
      </c>
      <c r="K4" s="5">
        <v>39</v>
      </c>
      <c r="L4" s="5">
        <v>0</v>
      </c>
      <c r="M4" s="5">
        <v>0</v>
      </c>
      <c r="N4" s="5">
        <v>0</v>
      </c>
      <c r="O4" s="80">
        <f>MEDIAN(C4:N4)</f>
        <v>47.5</v>
      </c>
    </row>
    <row r="5" spans="1:15" ht="30.75" customHeight="1" thickTop="1" thickBot="1">
      <c r="A5" s="384" t="s">
        <v>181</v>
      </c>
      <c r="B5" s="384"/>
      <c r="C5" s="9">
        <v>868</v>
      </c>
      <c r="D5" s="6">
        <v>925</v>
      </c>
      <c r="E5" s="6">
        <v>837</v>
      </c>
      <c r="F5" s="6">
        <v>950</v>
      </c>
      <c r="G5" s="6">
        <v>888</v>
      </c>
      <c r="H5" s="6">
        <v>918</v>
      </c>
      <c r="I5" s="6">
        <v>977</v>
      </c>
      <c r="J5" s="6">
        <v>953</v>
      </c>
      <c r="K5" s="6">
        <v>993</v>
      </c>
      <c r="L5" s="6">
        <v>0</v>
      </c>
      <c r="M5" s="6">
        <v>0</v>
      </c>
      <c r="N5" s="6">
        <v>0</v>
      </c>
      <c r="O5" s="80">
        <f>MEDIAN(C5:N5)</f>
        <v>903</v>
      </c>
    </row>
    <row r="6" spans="1:15" ht="15.75" thickBot="1">
      <c r="A6" s="385" t="s">
        <v>61</v>
      </c>
      <c r="B6" s="386"/>
      <c r="C6" s="387"/>
      <c r="D6" s="387"/>
      <c r="E6" s="387"/>
      <c r="F6" s="387"/>
      <c r="G6" s="387"/>
      <c r="H6" s="387"/>
      <c r="I6" s="387"/>
      <c r="J6" s="387"/>
      <c r="K6" s="387"/>
      <c r="L6" s="387"/>
      <c r="M6" s="387"/>
      <c r="N6" s="387"/>
      <c r="O6" s="387"/>
    </row>
    <row r="7" spans="1:15" ht="15.75" thickBot="1">
      <c r="A7" s="169" t="s">
        <v>2</v>
      </c>
      <c r="B7" s="178" t="s">
        <v>20</v>
      </c>
      <c r="C7" s="178"/>
      <c r="D7" s="179" t="s">
        <v>21</v>
      </c>
      <c r="E7" s="179"/>
      <c r="F7" s="179"/>
      <c r="G7" s="180" t="s">
        <v>22</v>
      </c>
      <c r="H7" s="180"/>
      <c r="I7" s="180"/>
      <c r="J7" s="181" t="s">
        <v>23</v>
      </c>
      <c r="K7" s="181"/>
      <c r="L7" s="181"/>
      <c r="M7" s="182" t="s">
        <v>24</v>
      </c>
      <c r="N7" s="182"/>
      <c r="O7" s="182"/>
    </row>
    <row r="8" spans="1:15" ht="15.75" thickBot="1">
      <c r="A8" s="50" t="s">
        <v>63</v>
      </c>
      <c r="B8" s="235"/>
      <c r="C8" s="235"/>
      <c r="D8" s="186"/>
      <c r="E8" s="186"/>
      <c r="F8" s="186"/>
      <c r="G8" s="186"/>
      <c r="H8" s="186"/>
      <c r="I8" s="186"/>
      <c r="J8" s="186"/>
      <c r="K8" s="186"/>
      <c r="L8" s="186"/>
      <c r="M8" s="186"/>
      <c r="N8" s="186"/>
      <c r="O8" s="186"/>
    </row>
    <row r="9" spans="1:15" ht="15.75" thickBot="1">
      <c r="A9" s="50" t="s">
        <v>69</v>
      </c>
      <c r="B9" s="235"/>
      <c r="C9" s="235"/>
      <c r="D9" s="186"/>
      <c r="E9" s="186"/>
      <c r="F9" s="186"/>
      <c r="G9" s="186"/>
      <c r="H9" s="186"/>
      <c r="I9" s="186"/>
      <c r="J9" s="186"/>
      <c r="K9" s="186"/>
      <c r="L9" s="186"/>
      <c r="M9" s="186"/>
      <c r="N9" s="186"/>
      <c r="O9" s="186"/>
    </row>
    <row r="10" spans="1:15" ht="15.75" thickBot="1">
      <c r="A10" s="50" t="s">
        <v>71</v>
      </c>
      <c r="B10" s="235"/>
      <c r="C10" s="235"/>
      <c r="D10" s="186"/>
      <c r="E10" s="186"/>
      <c r="F10" s="186"/>
      <c r="G10" s="186"/>
      <c r="H10" s="186"/>
      <c r="I10" s="186"/>
      <c r="J10" s="186"/>
      <c r="K10" s="186"/>
      <c r="L10" s="186"/>
      <c r="M10" s="186"/>
      <c r="N10" s="186"/>
      <c r="O10" s="186"/>
    </row>
    <row r="11" spans="1:15" ht="15.75" thickBot="1">
      <c r="A11" s="50" t="s">
        <v>73</v>
      </c>
      <c r="B11" s="235"/>
      <c r="C11" s="235"/>
      <c r="D11" s="186"/>
      <c r="E11" s="186"/>
      <c r="F11" s="186"/>
      <c r="G11" s="186"/>
      <c r="H11" s="186"/>
      <c r="I11" s="186"/>
      <c r="J11" s="186"/>
      <c r="K11" s="186"/>
      <c r="L11" s="186"/>
      <c r="M11" s="186"/>
      <c r="N11" s="186"/>
      <c r="O11" s="186"/>
    </row>
    <row r="12" spans="1:15" ht="15.75" thickBot="1">
      <c r="A12" s="50" t="s">
        <v>79</v>
      </c>
      <c r="B12" s="235"/>
      <c r="C12" s="235"/>
      <c r="D12" s="186"/>
      <c r="E12" s="186"/>
      <c r="F12" s="186"/>
      <c r="G12" s="186"/>
      <c r="H12" s="186"/>
      <c r="I12" s="186"/>
      <c r="J12" s="186"/>
      <c r="K12" s="186"/>
      <c r="L12" s="186"/>
      <c r="M12" s="186"/>
      <c r="N12" s="186"/>
      <c r="O12" s="186"/>
    </row>
    <row r="13" spans="1:15" ht="15.75" thickBot="1">
      <c r="A13" s="50" t="s">
        <v>81</v>
      </c>
      <c r="B13" s="235"/>
      <c r="C13" s="235"/>
      <c r="D13" s="186"/>
      <c r="E13" s="186"/>
      <c r="F13" s="186"/>
      <c r="G13" s="186"/>
      <c r="H13" s="186"/>
      <c r="I13" s="186"/>
      <c r="J13" s="186"/>
      <c r="K13" s="186"/>
      <c r="L13" s="186"/>
      <c r="M13" s="186"/>
      <c r="N13" s="186"/>
      <c r="O13" s="186"/>
    </row>
    <row r="14" spans="1:15" ht="15.75" thickBot="1">
      <c r="A14" s="50" t="s">
        <v>37</v>
      </c>
      <c r="B14" s="235"/>
      <c r="C14" s="235"/>
      <c r="D14" s="186"/>
      <c r="E14" s="186"/>
      <c r="F14" s="186"/>
      <c r="G14" s="186"/>
      <c r="H14" s="186"/>
      <c r="I14" s="186"/>
      <c r="J14" s="186"/>
      <c r="K14" s="186"/>
      <c r="L14" s="186"/>
      <c r="M14" s="186"/>
      <c r="N14" s="186"/>
      <c r="O14" s="186"/>
    </row>
    <row r="15" spans="1:15" ht="15.75" thickBot="1">
      <c r="A15" s="50" t="s">
        <v>43</v>
      </c>
      <c r="B15" s="235"/>
      <c r="C15" s="235"/>
      <c r="D15" s="186"/>
      <c r="E15" s="186"/>
      <c r="F15" s="186"/>
      <c r="G15" s="186"/>
      <c r="H15" s="186"/>
      <c r="I15" s="186"/>
      <c r="J15" s="186"/>
      <c r="K15" s="186"/>
      <c r="L15" s="186"/>
      <c r="M15" s="186"/>
      <c r="N15" s="186"/>
      <c r="O15" s="186"/>
    </row>
    <row r="16" spans="1:15" ht="15.75" thickBot="1">
      <c r="A16" s="50" t="s">
        <v>49</v>
      </c>
      <c r="B16" s="235"/>
      <c r="C16" s="235"/>
      <c r="D16" s="186"/>
      <c r="E16" s="186"/>
      <c r="F16" s="186"/>
      <c r="G16" s="186"/>
      <c r="H16" s="186"/>
      <c r="I16" s="186"/>
      <c r="J16" s="186"/>
      <c r="K16" s="186"/>
      <c r="L16" s="186"/>
      <c r="M16" s="186"/>
      <c r="N16" s="186"/>
      <c r="O16" s="186"/>
    </row>
    <row r="17" spans="1:15" ht="15.75" thickBot="1">
      <c r="A17" s="50" t="s">
        <v>55</v>
      </c>
      <c r="B17" s="235"/>
      <c r="C17" s="235"/>
      <c r="D17" s="186"/>
      <c r="E17" s="186"/>
      <c r="F17" s="186"/>
      <c r="G17" s="186"/>
      <c r="H17" s="186"/>
      <c r="I17" s="186"/>
      <c r="J17" s="186"/>
      <c r="K17" s="186"/>
      <c r="L17" s="186"/>
      <c r="M17" s="186"/>
      <c r="N17" s="186"/>
      <c r="O17" s="186"/>
    </row>
    <row r="18" spans="1:15" ht="15.75" thickBot="1">
      <c r="A18" s="50" t="s">
        <v>56</v>
      </c>
      <c r="B18" s="235"/>
      <c r="C18" s="235"/>
      <c r="D18" s="186"/>
      <c r="E18" s="186"/>
      <c r="F18" s="186"/>
      <c r="G18" s="186"/>
      <c r="H18" s="186"/>
      <c r="I18" s="186"/>
      <c r="J18" s="186"/>
      <c r="K18" s="186"/>
      <c r="L18" s="186"/>
      <c r="M18" s="186"/>
      <c r="N18" s="186"/>
      <c r="O18" s="186"/>
    </row>
    <row r="19" spans="1:15" ht="15.75" thickBot="1">
      <c r="A19" s="50" t="s">
        <v>57</v>
      </c>
      <c r="B19" s="235"/>
      <c r="C19" s="235"/>
      <c r="D19" s="186"/>
      <c r="E19" s="186"/>
      <c r="F19" s="186"/>
      <c r="G19" s="186"/>
      <c r="H19" s="186"/>
      <c r="I19" s="186"/>
      <c r="J19" s="186"/>
      <c r="K19" s="186"/>
      <c r="L19" s="186"/>
      <c r="M19" s="186"/>
      <c r="N19" s="186"/>
      <c r="O19" s="186"/>
    </row>
  </sheetData>
  <mergeCells count="73">
    <mergeCell ref="A5:B5"/>
    <mergeCell ref="A6:B6"/>
    <mergeCell ref="C1:O1"/>
    <mergeCell ref="C6:O6"/>
    <mergeCell ref="B7:C7"/>
    <mergeCell ref="D7:F7"/>
    <mergeCell ref="G7:I7"/>
    <mergeCell ref="J7:L7"/>
    <mergeCell ref="M7:O7"/>
    <mergeCell ref="A1:B1"/>
    <mergeCell ref="A2:B2"/>
    <mergeCell ref="A3:B3"/>
    <mergeCell ref="A4:B4"/>
    <mergeCell ref="B9:C9"/>
    <mergeCell ref="D9:F9"/>
    <mergeCell ref="G9:I9"/>
    <mergeCell ref="J9:L9"/>
    <mergeCell ref="M9:O9"/>
    <mergeCell ref="B8:C8"/>
    <mergeCell ref="D8:F8"/>
    <mergeCell ref="G8:I8"/>
    <mergeCell ref="J8:L8"/>
    <mergeCell ref="M8:O8"/>
    <mergeCell ref="B11:C11"/>
    <mergeCell ref="D11:F11"/>
    <mergeCell ref="G11:I11"/>
    <mergeCell ref="J11:L11"/>
    <mergeCell ref="M11:O11"/>
    <mergeCell ref="B10:C10"/>
    <mergeCell ref="D10:F10"/>
    <mergeCell ref="G10:I10"/>
    <mergeCell ref="J10:L10"/>
    <mergeCell ref="M10:O10"/>
    <mergeCell ref="B13:C13"/>
    <mergeCell ref="D13:F13"/>
    <mergeCell ref="G13:I13"/>
    <mergeCell ref="J13:L13"/>
    <mergeCell ref="M13:O13"/>
    <mergeCell ref="B12:C12"/>
    <mergeCell ref="D12:F12"/>
    <mergeCell ref="G12:I12"/>
    <mergeCell ref="J12:L12"/>
    <mergeCell ref="M12:O12"/>
    <mergeCell ref="B15:C15"/>
    <mergeCell ref="D15:F15"/>
    <mergeCell ref="G15:I15"/>
    <mergeCell ref="J15:L15"/>
    <mergeCell ref="M15:O15"/>
    <mergeCell ref="B14:C14"/>
    <mergeCell ref="D14:F14"/>
    <mergeCell ref="G14:I14"/>
    <mergeCell ref="J14:L14"/>
    <mergeCell ref="M14:O14"/>
    <mergeCell ref="B17:C17"/>
    <mergeCell ref="D17:F17"/>
    <mergeCell ref="G17:I17"/>
    <mergeCell ref="J17:L17"/>
    <mergeCell ref="M17:O17"/>
    <mergeCell ref="B16:C16"/>
    <mergeCell ref="D16:F16"/>
    <mergeCell ref="G16:I16"/>
    <mergeCell ref="J16:L16"/>
    <mergeCell ref="M16:O16"/>
    <mergeCell ref="B19:C19"/>
    <mergeCell ref="D19:F19"/>
    <mergeCell ref="G19:I19"/>
    <mergeCell ref="J19:L19"/>
    <mergeCell ref="M19:O19"/>
    <mergeCell ref="B18:C18"/>
    <mergeCell ref="D18:F18"/>
    <mergeCell ref="G18:I18"/>
    <mergeCell ref="J18:L18"/>
    <mergeCell ref="M18:O18"/>
  </mergeCells>
  <phoneticPr fontId="15" type="noConversion"/>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9CBB-C008-4CC8-B688-7EFCDFAA7A0E}">
  <dimension ref="A1:O6"/>
  <sheetViews>
    <sheetView workbookViewId="0">
      <selection activeCell="B9" sqref="B9"/>
    </sheetView>
  </sheetViews>
  <sheetFormatPr defaultRowHeight="15"/>
  <cols>
    <col min="2" max="2" width="60.28515625" customWidth="1"/>
  </cols>
  <sheetData>
    <row r="1" spans="1:15" ht="15.75" thickBot="1">
      <c r="A1" s="240" t="s">
        <v>182</v>
      </c>
      <c r="B1" s="241"/>
      <c r="C1" s="392">
        <v>2025</v>
      </c>
      <c r="D1" s="393"/>
      <c r="E1" s="393"/>
      <c r="F1" s="393"/>
      <c r="G1" s="393"/>
      <c r="H1" s="393"/>
      <c r="I1" s="393"/>
      <c r="J1" s="393"/>
      <c r="K1" s="393"/>
      <c r="L1" s="393"/>
      <c r="M1" s="393"/>
      <c r="N1" s="393"/>
      <c r="O1" s="393"/>
    </row>
    <row r="2" spans="1:15" ht="16.5" customHeight="1" thickTop="1" thickBot="1">
      <c r="A2" s="240"/>
      <c r="B2" s="241"/>
      <c r="C2" s="2">
        <v>1</v>
      </c>
      <c r="D2" s="2">
        <v>1</v>
      </c>
      <c r="E2" s="2">
        <v>1</v>
      </c>
      <c r="F2" s="2">
        <v>1</v>
      </c>
      <c r="G2" s="2">
        <v>1</v>
      </c>
      <c r="H2" s="2">
        <v>1</v>
      </c>
      <c r="I2" s="2">
        <v>1</v>
      </c>
      <c r="J2" s="2">
        <v>1</v>
      </c>
      <c r="K2" s="2">
        <v>1</v>
      </c>
      <c r="L2" s="3"/>
      <c r="M2" s="3"/>
      <c r="N2" s="3"/>
      <c r="O2" s="85">
        <f>MEDIAN(C2:N2)</f>
        <v>1</v>
      </c>
    </row>
    <row r="3" spans="1:15" ht="16.5" thickTop="1" thickBot="1">
      <c r="A3" s="390" t="s">
        <v>2</v>
      </c>
      <c r="B3" s="391"/>
      <c r="C3" s="4" t="s">
        <v>3</v>
      </c>
      <c r="D3" s="4" t="s">
        <v>4</v>
      </c>
      <c r="E3" s="4" t="s">
        <v>5</v>
      </c>
      <c r="F3" s="4" t="s">
        <v>6</v>
      </c>
      <c r="G3" s="4" t="s">
        <v>7</v>
      </c>
      <c r="H3" s="4" t="s">
        <v>8</v>
      </c>
      <c r="I3" s="4" t="s">
        <v>9</v>
      </c>
      <c r="J3" s="4" t="s">
        <v>10</v>
      </c>
      <c r="K3" s="4" t="s">
        <v>11</v>
      </c>
      <c r="L3" s="4" t="s">
        <v>12</v>
      </c>
      <c r="M3" s="4" t="s">
        <v>13</v>
      </c>
      <c r="N3" s="4" t="s">
        <v>14</v>
      </c>
      <c r="O3" s="49" t="s">
        <v>125</v>
      </c>
    </row>
    <row r="4" spans="1:15" ht="28.5" customHeight="1" thickTop="1" thickBot="1">
      <c r="A4" s="242" t="s">
        <v>183</v>
      </c>
      <c r="B4" s="243"/>
      <c r="C4" s="5">
        <v>0</v>
      </c>
      <c r="D4" s="5">
        <v>0</v>
      </c>
      <c r="E4" s="5">
        <v>0</v>
      </c>
      <c r="F4" s="5">
        <v>0</v>
      </c>
      <c r="G4" s="5">
        <v>0</v>
      </c>
      <c r="H4" s="5">
        <v>0</v>
      </c>
      <c r="I4" s="5">
        <v>0</v>
      </c>
      <c r="J4" s="5">
        <v>0</v>
      </c>
      <c r="K4" s="5">
        <v>1</v>
      </c>
      <c r="L4" s="5">
        <v>0</v>
      </c>
      <c r="M4" s="5">
        <v>0</v>
      </c>
      <c r="N4" s="5">
        <v>0</v>
      </c>
      <c r="O4" s="48">
        <f>MEDIAN(C4:N4)</f>
        <v>0</v>
      </c>
    </row>
    <row r="5" spans="1:15" ht="28.5" customHeight="1" thickTop="1" thickBot="1">
      <c r="A5" s="242" t="s">
        <v>184</v>
      </c>
      <c r="B5" s="243"/>
      <c r="C5" s="6">
        <v>0</v>
      </c>
      <c r="D5" s="6">
        <v>0</v>
      </c>
      <c r="E5" s="6">
        <v>0</v>
      </c>
      <c r="F5" s="6">
        <v>0</v>
      </c>
      <c r="G5" s="6">
        <v>0</v>
      </c>
      <c r="H5" s="6">
        <v>0</v>
      </c>
      <c r="I5" s="6">
        <v>0</v>
      </c>
      <c r="J5" s="6">
        <v>0</v>
      </c>
      <c r="K5" s="6">
        <v>1</v>
      </c>
      <c r="L5" s="6">
        <v>0</v>
      </c>
      <c r="M5" s="6">
        <v>0</v>
      </c>
      <c r="N5" s="6">
        <v>0</v>
      </c>
      <c r="O5" s="48">
        <f>MEDIAN(C5:N5)</f>
        <v>0</v>
      </c>
    </row>
    <row r="6" spans="1:15" ht="15.75" thickTop="1">
      <c r="A6" s="368" t="s">
        <v>61</v>
      </c>
      <c r="B6" s="369"/>
      <c r="C6" s="370"/>
      <c r="D6" s="371"/>
      <c r="E6" s="371"/>
      <c r="F6" s="371"/>
      <c r="G6" s="371"/>
      <c r="H6" s="371"/>
      <c r="I6" s="371"/>
      <c r="J6" s="371"/>
      <c r="K6" s="371"/>
      <c r="L6" s="371"/>
      <c r="M6" s="371"/>
      <c r="N6" s="371"/>
      <c r="O6" s="371"/>
    </row>
  </sheetData>
  <mergeCells count="7">
    <mergeCell ref="A5:B5"/>
    <mergeCell ref="A6:B6"/>
    <mergeCell ref="C1:O1"/>
    <mergeCell ref="C6:O6"/>
    <mergeCell ref="A1:B2"/>
    <mergeCell ref="A3:B3"/>
    <mergeCell ref="A4:B4"/>
  </mergeCells>
  <phoneticPr fontId="15" type="noConversion"/>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527D-A233-4D25-A6C1-0ADF0B517783}">
  <dimension ref="A1:O20"/>
  <sheetViews>
    <sheetView workbookViewId="0">
      <selection activeCell="C4" sqref="C4:K4"/>
    </sheetView>
  </sheetViews>
  <sheetFormatPr defaultRowHeight="13.5"/>
  <cols>
    <col min="1" max="1" width="9.140625" style="24"/>
    <col min="2" max="2" width="60.42578125" style="24" customWidth="1"/>
    <col min="3" max="14" width="9.140625" style="24"/>
    <col min="15" max="15" width="11.85546875" style="24" customWidth="1"/>
    <col min="16" max="16384" width="9.140625" style="24"/>
  </cols>
  <sheetData>
    <row r="1" spans="1:15" ht="14.25" thickBot="1">
      <c r="A1" s="397" t="s">
        <v>185</v>
      </c>
      <c r="B1" s="398"/>
      <c r="C1" s="395">
        <v>2025</v>
      </c>
      <c r="D1" s="395"/>
      <c r="E1" s="395"/>
      <c r="F1" s="395"/>
      <c r="G1" s="395"/>
      <c r="H1" s="395"/>
      <c r="I1" s="395"/>
      <c r="J1" s="395"/>
      <c r="K1" s="395"/>
      <c r="L1" s="395"/>
      <c r="M1" s="395"/>
      <c r="N1" s="395"/>
      <c r="O1" s="395"/>
    </row>
    <row r="2" spans="1:15" ht="23.25" customHeight="1" thickBot="1">
      <c r="A2" s="399"/>
      <c r="B2" s="400"/>
      <c r="C2" s="53">
        <v>0.87</v>
      </c>
      <c r="D2" s="53">
        <v>0.87</v>
      </c>
      <c r="E2" s="53">
        <v>0.91</v>
      </c>
      <c r="F2" s="53">
        <v>0.89</v>
      </c>
      <c r="G2" s="53">
        <v>0.89</v>
      </c>
      <c r="H2" s="53">
        <v>0.88</v>
      </c>
      <c r="I2" s="53">
        <v>0.91</v>
      </c>
      <c r="J2" s="53">
        <v>0.9</v>
      </c>
      <c r="K2" s="53">
        <v>0.89</v>
      </c>
      <c r="L2" s="54"/>
      <c r="M2" s="54"/>
      <c r="N2" s="54"/>
      <c r="O2" s="86">
        <f>MEDIAN(C2:N2)</f>
        <v>0.89</v>
      </c>
    </row>
    <row r="3" spans="1:15" ht="19.5" customHeight="1" thickBot="1">
      <c r="A3" s="401" t="s">
        <v>2</v>
      </c>
      <c r="B3" s="401"/>
      <c r="C3" s="55" t="s">
        <v>3</v>
      </c>
      <c r="D3" s="55" t="s">
        <v>4</v>
      </c>
      <c r="E3" s="55" t="s">
        <v>5</v>
      </c>
      <c r="F3" s="55" t="s">
        <v>6</v>
      </c>
      <c r="G3" s="55" t="s">
        <v>7</v>
      </c>
      <c r="H3" s="55" t="s">
        <v>8</v>
      </c>
      <c r="I3" s="55" t="s">
        <v>9</v>
      </c>
      <c r="J3" s="55" t="s">
        <v>10</v>
      </c>
      <c r="K3" s="55" t="s">
        <v>11</v>
      </c>
      <c r="L3" s="55" t="s">
        <v>12</v>
      </c>
      <c r="M3" s="55" t="s">
        <v>13</v>
      </c>
      <c r="N3" s="55" t="s">
        <v>14</v>
      </c>
      <c r="O3" s="175" t="s">
        <v>125</v>
      </c>
    </row>
    <row r="4" spans="1:15" ht="41.25" customHeight="1" thickBot="1">
      <c r="A4" s="394" t="s">
        <v>186</v>
      </c>
      <c r="B4" s="394"/>
      <c r="C4" s="56">
        <v>634</v>
      </c>
      <c r="D4" s="56">
        <v>660</v>
      </c>
      <c r="E4" s="56">
        <v>740</v>
      </c>
      <c r="F4" s="56">
        <v>810</v>
      </c>
      <c r="G4" s="56">
        <v>837</v>
      </c>
      <c r="H4" s="56">
        <v>751</v>
      </c>
      <c r="I4" s="56">
        <v>795</v>
      </c>
      <c r="J4" s="56">
        <v>809</v>
      </c>
      <c r="K4" s="56">
        <v>807</v>
      </c>
      <c r="L4" s="56">
        <v>0</v>
      </c>
      <c r="M4" s="56">
        <v>0</v>
      </c>
      <c r="N4" s="56">
        <v>0</v>
      </c>
      <c r="O4" s="87">
        <f>MEDIAN(C4:N4)</f>
        <v>745.5</v>
      </c>
    </row>
    <row r="5" spans="1:15" ht="41.25" customHeight="1" thickBot="1">
      <c r="A5" s="394" t="s">
        <v>187</v>
      </c>
      <c r="B5" s="394"/>
      <c r="C5" s="56">
        <v>732</v>
      </c>
      <c r="D5" s="56">
        <v>760</v>
      </c>
      <c r="E5" s="56">
        <v>817</v>
      </c>
      <c r="F5" s="56">
        <v>906</v>
      </c>
      <c r="G5" s="56">
        <v>943</v>
      </c>
      <c r="H5" s="56">
        <v>856</v>
      </c>
      <c r="I5" s="56">
        <v>876</v>
      </c>
      <c r="J5" s="56">
        <v>899</v>
      </c>
      <c r="K5" s="56">
        <v>904</v>
      </c>
      <c r="L5" s="56">
        <v>0</v>
      </c>
      <c r="M5" s="56">
        <v>0</v>
      </c>
      <c r="N5" s="56">
        <v>0</v>
      </c>
      <c r="O5" s="87">
        <f>MEDIAN(C5:N5)</f>
        <v>836.5</v>
      </c>
    </row>
    <row r="6" spans="1:15" ht="14.25" thickBot="1">
      <c r="A6" s="402" t="s">
        <v>61</v>
      </c>
      <c r="B6" s="402"/>
      <c r="C6" s="396" t="s">
        <v>147</v>
      </c>
      <c r="D6" s="396"/>
      <c r="E6" s="396"/>
      <c r="F6" s="396"/>
      <c r="G6" s="396"/>
      <c r="H6" s="396"/>
      <c r="I6" s="396"/>
      <c r="J6" s="396"/>
      <c r="K6" s="396"/>
      <c r="L6" s="396"/>
      <c r="M6" s="396"/>
      <c r="N6" s="396"/>
      <c r="O6" s="396"/>
    </row>
    <row r="7" spans="1:15" ht="14.25" thickBot="1">
      <c r="A7" s="169" t="s">
        <v>2</v>
      </c>
      <c r="B7" s="178" t="s">
        <v>20</v>
      </c>
      <c r="C7" s="178"/>
      <c r="D7" s="179" t="s">
        <v>21</v>
      </c>
      <c r="E7" s="179"/>
      <c r="F7" s="179"/>
      <c r="G7" s="180" t="s">
        <v>22</v>
      </c>
      <c r="H7" s="180"/>
      <c r="I7" s="180"/>
      <c r="J7" s="181" t="s">
        <v>23</v>
      </c>
      <c r="K7" s="181"/>
      <c r="L7" s="181"/>
      <c r="M7" s="182" t="s">
        <v>24</v>
      </c>
      <c r="N7" s="182"/>
      <c r="O7" s="182"/>
    </row>
    <row r="8" spans="1:15" ht="14.25" thickBot="1">
      <c r="A8" s="50" t="s">
        <v>63</v>
      </c>
      <c r="B8" s="235"/>
      <c r="C8" s="235"/>
      <c r="D8" s="186"/>
      <c r="E8" s="186"/>
      <c r="F8" s="186"/>
      <c r="G8" s="186"/>
      <c r="H8" s="186"/>
      <c r="I8" s="186"/>
      <c r="J8" s="186"/>
      <c r="K8" s="186"/>
      <c r="L8" s="186"/>
      <c r="M8" s="186"/>
      <c r="N8" s="186"/>
      <c r="O8" s="186"/>
    </row>
    <row r="9" spans="1:15" ht="14.25" thickBot="1">
      <c r="A9" s="50" t="s">
        <v>69</v>
      </c>
      <c r="B9" s="235"/>
      <c r="C9" s="235"/>
      <c r="D9" s="186"/>
      <c r="E9" s="186"/>
      <c r="F9" s="186"/>
      <c r="G9" s="186"/>
      <c r="H9" s="186"/>
      <c r="I9" s="186"/>
      <c r="J9" s="186"/>
      <c r="K9" s="186"/>
      <c r="L9" s="186"/>
      <c r="M9" s="186"/>
      <c r="N9" s="186"/>
      <c r="O9" s="186"/>
    </row>
    <row r="10" spans="1:15" ht="14.25" thickBot="1">
      <c r="A10" s="50" t="s">
        <v>71</v>
      </c>
      <c r="B10" s="235"/>
      <c r="C10" s="235"/>
      <c r="D10" s="186"/>
      <c r="E10" s="186"/>
      <c r="F10" s="186"/>
      <c r="G10" s="186"/>
      <c r="H10" s="186"/>
      <c r="I10" s="186"/>
      <c r="J10" s="186"/>
      <c r="K10" s="186"/>
      <c r="L10" s="186"/>
      <c r="M10" s="186"/>
      <c r="N10" s="186"/>
      <c r="O10" s="186"/>
    </row>
    <row r="11" spans="1:15" ht="14.25" thickBot="1">
      <c r="A11" s="50" t="s">
        <v>73</v>
      </c>
      <c r="B11" s="235"/>
      <c r="C11" s="235"/>
      <c r="D11" s="186"/>
      <c r="E11" s="186"/>
      <c r="F11" s="186"/>
      <c r="G11" s="186"/>
      <c r="H11" s="186"/>
      <c r="I11" s="186"/>
      <c r="J11" s="186"/>
      <c r="K11" s="186"/>
      <c r="L11" s="186"/>
      <c r="M11" s="186"/>
      <c r="N11" s="186"/>
      <c r="O11" s="186"/>
    </row>
    <row r="12" spans="1:15" ht="14.25" thickBot="1">
      <c r="A12" s="50" t="s">
        <v>79</v>
      </c>
      <c r="B12" s="235"/>
      <c r="C12" s="235"/>
      <c r="D12" s="186"/>
      <c r="E12" s="186"/>
      <c r="F12" s="186"/>
      <c r="G12" s="186"/>
      <c r="H12" s="186"/>
      <c r="I12" s="186"/>
      <c r="J12" s="186"/>
      <c r="K12" s="186"/>
      <c r="L12" s="186"/>
      <c r="M12" s="186"/>
      <c r="N12" s="186"/>
      <c r="O12" s="186"/>
    </row>
    <row r="13" spans="1:15" ht="14.25" thickBot="1">
      <c r="A13" s="50" t="s">
        <v>81</v>
      </c>
      <c r="B13" s="235"/>
      <c r="C13" s="235"/>
      <c r="D13" s="186"/>
      <c r="E13" s="186"/>
      <c r="F13" s="186"/>
      <c r="G13" s="186"/>
      <c r="H13" s="186"/>
      <c r="I13" s="186"/>
      <c r="J13" s="186"/>
      <c r="K13" s="186"/>
      <c r="L13" s="186"/>
      <c r="M13" s="186"/>
      <c r="N13" s="186"/>
      <c r="O13" s="186"/>
    </row>
    <row r="14" spans="1:15" ht="14.25" thickBot="1">
      <c r="A14" s="50" t="s">
        <v>37</v>
      </c>
      <c r="B14" s="235"/>
      <c r="C14" s="235"/>
      <c r="D14" s="186"/>
      <c r="E14" s="186"/>
      <c r="F14" s="186"/>
      <c r="G14" s="186"/>
      <c r="H14" s="186"/>
      <c r="I14" s="186"/>
      <c r="J14" s="186"/>
      <c r="K14" s="186"/>
      <c r="L14" s="186"/>
      <c r="M14" s="186"/>
      <c r="N14" s="186"/>
      <c r="O14" s="186"/>
    </row>
    <row r="15" spans="1:15" ht="14.25" thickBot="1">
      <c r="A15" s="50" t="s">
        <v>43</v>
      </c>
      <c r="B15" s="235"/>
      <c r="C15" s="235"/>
      <c r="D15" s="186"/>
      <c r="E15" s="186"/>
      <c r="F15" s="186"/>
      <c r="G15" s="186"/>
      <c r="H15" s="186"/>
      <c r="I15" s="186"/>
      <c r="J15" s="186"/>
      <c r="K15" s="186"/>
      <c r="L15" s="186"/>
      <c r="M15" s="186"/>
      <c r="N15" s="186"/>
      <c r="O15" s="186"/>
    </row>
    <row r="16" spans="1:15" ht="14.25" thickBot="1">
      <c r="A16" s="50" t="s">
        <v>49</v>
      </c>
      <c r="B16" s="235"/>
      <c r="C16" s="235"/>
      <c r="D16" s="186"/>
      <c r="E16" s="186"/>
      <c r="F16" s="186"/>
      <c r="G16" s="186"/>
      <c r="H16" s="186"/>
      <c r="I16" s="186"/>
      <c r="J16" s="186"/>
      <c r="K16" s="186"/>
      <c r="L16" s="186"/>
      <c r="M16" s="186"/>
      <c r="N16" s="186"/>
      <c r="O16" s="186"/>
    </row>
    <row r="17" spans="1:15" ht="14.25" thickBot="1">
      <c r="A17" s="50" t="s">
        <v>55</v>
      </c>
      <c r="B17" s="235"/>
      <c r="C17" s="235"/>
      <c r="D17" s="186"/>
      <c r="E17" s="186"/>
      <c r="F17" s="186"/>
      <c r="G17" s="186"/>
      <c r="H17" s="186"/>
      <c r="I17" s="186"/>
      <c r="J17" s="186"/>
      <c r="K17" s="186"/>
      <c r="L17" s="186"/>
      <c r="M17" s="186"/>
      <c r="N17" s="186"/>
      <c r="O17" s="186"/>
    </row>
    <row r="18" spans="1:15" ht="14.25" thickBot="1">
      <c r="A18" s="50" t="s">
        <v>56</v>
      </c>
      <c r="B18" s="235"/>
      <c r="C18" s="235"/>
      <c r="D18" s="186"/>
      <c r="E18" s="186"/>
      <c r="F18" s="186"/>
      <c r="G18" s="186"/>
      <c r="H18" s="186"/>
      <c r="I18" s="186"/>
      <c r="J18" s="186"/>
      <c r="K18" s="186"/>
      <c r="L18" s="186"/>
      <c r="M18" s="186"/>
      <c r="N18" s="186"/>
      <c r="O18" s="186"/>
    </row>
    <row r="19" spans="1:15" ht="14.25" thickBot="1">
      <c r="A19" s="50" t="s">
        <v>57</v>
      </c>
      <c r="B19" s="235"/>
      <c r="C19" s="235"/>
      <c r="D19" s="186"/>
      <c r="E19" s="186"/>
      <c r="F19" s="186"/>
      <c r="G19" s="186"/>
      <c r="H19" s="186"/>
      <c r="I19" s="186"/>
      <c r="J19" s="186"/>
      <c r="K19" s="186"/>
      <c r="L19" s="186"/>
      <c r="M19" s="186"/>
      <c r="N19" s="186"/>
      <c r="O19" s="186"/>
    </row>
    <row r="20" spans="1:15" ht="15">
      <c r="A20"/>
      <c r="B20"/>
      <c r="C20"/>
      <c r="D20"/>
      <c r="E20"/>
      <c r="F20"/>
      <c r="G20"/>
      <c r="H20"/>
      <c r="I20"/>
      <c r="J20"/>
      <c r="K20"/>
      <c r="L20"/>
      <c r="M20"/>
      <c r="N20"/>
      <c r="O20"/>
    </row>
  </sheetData>
  <mergeCells count="72">
    <mergeCell ref="A5:B5"/>
    <mergeCell ref="A4:B4"/>
    <mergeCell ref="C1:O1"/>
    <mergeCell ref="C6:O6"/>
    <mergeCell ref="B7:C7"/>
    <mergeCell ref="D7:F7"/>
    <mergeCell ref="G7:I7"/>
    <mergeCell ref="J7:L7"/>
    <mergeCell ref="M7:O7"/>
    <mergeCell ref="A1:B2"/>
    <mergeCell ref="A3:B3"/>
    <mergeCell ref="A6:B6"/>
    <mergeCell ref="B9:C9"/>
    <mergeCell ref="D9:F9"/>
    <mergeCell ref="G9:I9"/>
    <mergeCell ref="J9:L9"/>
    <mergeCell ref="M9:O9"/>
    <mergeCell ref="B8:C8"/>
    <mergeCell ref="D8:F8"/>
    <mergeCell ref="G8:I8"/>
    <mergeCell ref="J8:L8"/>
    <mergeCell ref="M8:O8"/>
    <mergeCell ref="B11:C11"/>
    <mergeCell ref="D11:F11"/>
    <mergeCell ref="G11:I11"/>
    <mergeCell ref="J11:L11"/>
    <mergeCell ref="M11:O11"/>
    <mergeCell ref="B10:C10"/>
    <mergeCell ref="D10:F10"/>
    <mergeCell ref="G10:I10"/>
    <mergeCell ref="J10:L10"/>
    <mergeCell ref="M10:O10"/>
    <mergeCell ref="B13:C13"/>
    <mergeCell ref="D13:F13"/>
    <mergeCell ref="G13:I13"/>
    <mergeCell ref="J13:L13"/>
    <mergeCell ref="M13:O13"/>
    <mergeCell ref="B12:C12"/>
    <mergeCell ref="D12:F12"/>
    <mergeCell ref="G12:I12"/>
    <mergeCell ref="J12:L12"/>
    <mergeCell ref="M12:O12"/>
    <mergeCell ref="B15:C15"/>
    <mergeCell ref="D15:F15"/>
    <mergeCell ref="G15:I15"/>
    <mergeCell ref="J15:L15"/>
    <mergeCell ref="M15:O15"/>
    <mergeCell ref="B14:C14"/>
    <mergeCell ref="D14:F14"/>
    <mergeCell ref="G14:I14"/>
    <mergeCell ref="J14:L14"/>
    <mergeCell ref="M14:O14"/>
    <mergeCell ref="B17:C17"/>
    <mergeCell ref="D17:F17"/>
    <mergeCell ref="G17:I17"/>
    <mergeCell ref="J17:L17"/>
    <mergeCell ref="M17:O17"/>
    <mergeCell ref="B16:C16"/>
    <mergeCell ref="D16:F16"/>
    <mergeCell ref="G16:I16"/>
    <mergeCell ref="J16:L16"/>
    <mergeCell ref="M16:O16"/>
    <mergeCell ref="B19:C19"/>
    <mergeCell ref="D19:F19"/>
    <mergeCell ref="G19:I19"/>
    <mergeCell ref="J19:L19"/>
    <mergeCell ref="M19:O19"/>
    <mergeCell ref="B18:C18"/>
    <mergeCell ref="D18:F18"/>
    <mergeCell ref="G18:I18"/>
    <mergeCell ref="J18:L18"/>
    <mergeCell ref="M18:O18"/>
  </mergeCells>
  <phoneticPr fontId="15" type="noConversion"/>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8D80-3294-42E4-BCDB-D566CA086A23}">
  <dimension ref="A1:O29"/>
  <sheetViews>
    <sheetView workbookViewId="0">
      <selection activeCell="C8" sqref="C8"/>
    </sheetView>
  </sheetViews>
  <sheetFormatPr defaultRowHeight="15"/>
  <cols>
    <col min="2" max="2" width="48.85546875" bestFit="1" customWidth="1"/>
    <col min="3" max="3" width="13.28515625" bestFit="1" customWidth="1"/>
  </cols>
  <sheetData>
    <row r="1" spans="1:15" ht="15.75" thickBot="1">
      <c r="A1" s="206" t="s">
        <v>188</v>
      </c>
      <c r="B1" s="416"/>
      <c r="C1" s="419">
        <v>2025</v>
      </c>
      <c r="D1" s="419"/>
      <c r="E1" s="419"/>
      <c r="F1" s="419"/>
      <c r="G1" s="419"/>
      <c r="H1" s="419"/>
      <c r="I1" s="419"/>
      <c r="J1" s="419"/>
      <c r="K1" s="419"/>
      <c r="L1" s="419"/>
      <c r="M1" s="419"/>
      <c r="N1" s="419"/>
      <c r="O1" s="419"/>
    </row>
    <row r="2" spans="1:15" ht="15.75" thickBot="1">
      <c r="A2" s="417"/>
      <c r="B2" s="418"/>
      <c r="C2" s="147">
        <f>C4/C5</f>
        <v>0.91331178372024679</v>
      </c>
      <c r="D2" s="147">
        <f t="shared" ref="D2:K2" si="0">D4/D5</f>
        <v>0.91440559440559444</v>
      </c>
      <c r="E2" s="147">
        <f t="shared" si="0"/>
        <v>0.92696320702910484</v>
      </c>
      <c r="F2" s="147">
        <f t="shared" si="0"/>
        <v>0.90945573112616007</v>
      </c>
      <c r="G2" s="147">
        <f t="shared" si="0"/>
        <v>0.92497482376636453</v>
      </c>
      <c r="H2" s="147">
        <f t="shared" si="0"/>
        <v>0.91330698287220025</v>
      </c>
      <c r="I2" s="147">
        <f t="shared" si="0"/>
        <v>0.94478527607361962</v>
      </c>
      <c r="J2" s="147">
        <f t="shared" si="0"/>
        <v>0.94006934125804853</v>
      </c>
      <c r="K2" s="147">
        <f t="shared" si="0"/>
        <v>0.9355146883209936</v>
      </c>
      <c r="L2" s="134"/>
      <c r="M2" s="134"/>
      <c r="N2" s="134"/>
      <c r="O2" s="62"/>
    </row>
    <row r="3" spans="1:15">
      <c r="A3" s="420" t="s">
        <v>2</v>
      </c>
      <c r="B3" s="420"/>
      <c r="C3" s="176" t="s">
        <v>3</v>
      </c>
      <c r="D3" s="176" t="s">
        <v>4</v>
      </c>
      <c r="E3" s="176" t="s">
        <v>5</v>
      </c>
      <c r="F3" s="176" t="s">
        <v>6</v>
      </c>
      <c r="G3" s="176" t="s">
        <v>7</v>
      </c>
      <c r="H3" s="176" t="s">
        <v>8</v>
      </c>
      <c r="I3" s="176" t="s">
        <v>9</v>
      </c>
      <c r="J3" s="176" t="s">
        <v>10</v>
      </c>
      <c r="K3" s="176" t="s">
        <v>11</v>
      </c>
      <c r="L3" s="176" t="s">
        <v>12</v>
      </c>
      <c r="M3" s="176" t="s">
        <v>13</v>
      </c>
      <c r="N3" s="176" t="s">
        <v>14</v>
      </c>
      <c r="O3" s="63" t="s">
        <v>125</v>
      </c>
    </row>
    <row r="4" spans="1:15" ht="15.75" customHeight="1">
      <c r="A4" s="384" t="s">
        <v>189</v>
      </c>
      <c r="B4" s="384"/>
      <c r="C4" s="164">
        <v>3108</v>
      </c>
      <c r="D4" s="165">
        <v>3269</v>
      </c>
      <c r="E4" s="165">
        <v>3376</v>
      </c>
      <c r="F4" s="165">
        <v>3626</v>
      </c>
      <c r="G4" s="165">
        <v>3674</v>
      </c>
      <c r="H4" s="165">
        <v>3466</v>
      </c>
      <c r="I4" s="165">
        <v>3850</v>
      </c>
      <c r="J4" s="165">
        <v>3796</v>
      </c>
      <c r="K4" s="165">
        <v>3917</v>
      </c>
      <c r="L4" s="59"/>
      <c r="M4" s="59"/>
      <c r="N4" s="59"/>
      <c r="O4" s="61"/>
    </row>
    <row r="5" spans="1:15">
      <c r="A5" s="384" t="s">
        <v>190</v>
      </c>
      <c r="B5" s="384"/>
      <c r="C5" s="166">
        <v>3403</v>
      </c>
      <c r="D5" s="167">
        <v>3575</v>
      </c>
      <c r="E5" s="167">
        <v>3642</v>
      </c>
      <c r="F5" s="167">
        <v>3987</v>
      </c>
      <c r="G5" s="167">
        <v>3972</v>
      </c>
      <c r="H5" s="167">
        <v>3795</v>
      </c>
      <c r="I5" s="167">
        <v>4075</v>
      </c>
      <c r="J5" s="167">
        <v>4038</v>
      </c>
      <c r="K5" s="167">
        <v>4187</v>
      </c>
      <c r="L5" s="59"/>
      <c r="M5" s="59"/>
      <c r="N5" s="59"/>
      <c r="O5" s="61"/>
    </row>
    <row r="6" spans="1:15">
      <c r="A6" s="421" t="s">
        <v>61</v>
      </c>
      <c r="B6" s="421"/>
      <c r="C6" s="422">
        <v>0.95</v>
      </c>
      <c r="D6" s="423"/>
      <c r="E6" s="423"/>
      <c r="F6" s="423"/>
      <c r="G6" s="423"/>
      <c r="H6" s="423"/>
      <c r="I6" s="423"/>
      <c r="J6" s="423"/>
      <c r="K6" s="423"/>
      <c r="L6" s="423"/>
      <c r="M6" s="423"/>
      <c r="N6" s="423"/>
      <c r="O6" s="423"/>
    </row>
    <row r="7" spans="1:15">
      <c r="A7" s="206" t="s">
        <v>191</v>
      </c>
      <c r="B7" s="416"/>
      <c r="C7" s="131" t="s">
        <v>3</v>
      </c>
      <c r="D7" s="131" t="s">
        <v>4</v>
      </c>
      <c r="E7" s="131" t="s">
        <v>5</v>
      </c>
      <c r="F7" s="131" t="s">
        <v>6</v>
      </c>
      <c r="G7" s="131" t="s">
        <v>7</v>
      </c>
      <c r="H7" s="131" t="s">
        <v>8</v>
      </c>
      <c r="I7" s="131" t="s">
        <v>9</v>
      </c>
      <c r="J7" s="131" t="s">
        <v>10</v>
      </c>
      <c r="K7" s="131" t="s">
        <v>11</v>
      </c>
      <c r="L7" s="131" t="s">
        <v>12</v>
      </c>
      <c r="M7" s="131" t="s">
        <v>13</v>
      </c>
      <c r="N7" s="131" t="s">
        <v>14</v>
      </c>
    </row>
    <row r="8" spans="1:15">
      <c r="A8" s="424">
        <v>1</v>
      </c>
      <c r="B8" s="148" t="s">
        <v>192</v>
      </c>
      <c r="C8" s="149" t="s">
        <v>193</v>
      </c>
      <c r="D8" s="149" t="s">
        <v>193</v>
      </c>
      <c r="E8" s="149" t="s">
        <v>193</v>
      </c>
      <c r="F8" s="149" t="s">
        <v>193</v>
      </c>
      <c r="G8" s="149" t="s">
        <v>193</v>
      </c>
      <c r="H8" s="149" t="s">
        <v>193</v>
      </c>
      <c r="I8" s="149" t="s">
        <v>193</v>
      </c>
      <c r="J8" s="149" t="s">
        <v>193</v>
      </c>
      <c r="K8" s="149">
        <v>8</v>
      </c>
      <c r="L8" s="149" t="s">
        <v>193</v>
      </c>
      <c r="M8" s="149" t="s">
        <v>193</v>
      </c>
      <c r="N8" s="149" t="s">
        <v>193</v>
      </c>
    </row>
    <row r="9" spans="1:15">
      <c r="A9" s="425"/>
      <c r="B9" s="150" t="s">
        <v>194</v>
      </c>
      <c r="C9" s="151" t="s">
        <v>193</v>
      </c>
      <c r="D9" s="151" t="s">
        <v>193</v>
      </c>
      <c r="E9" s="151" t="s">
        <v>193</v>
      </c>
      <c r="F9" s="151" t="s">
        <v>193</v>
      </c>
      <c r="G9" s="151" t="s">
        <v>193</v>
      </c>
      <c r="H9" s="151" t="s">
        <v>193</v>
      </c>
      <c r="I9" s="151" t="s">
        <v>193</v>
      </c>
      <c r="J9" s="151" t="s">
        <v>193</v>
      </c>
      <c r="K9" s="151">
        <v>11</v>
      </c>
      <c r="L9" s="151" t="s">
        <v>193</v>
      </c>
      <c r="M9" s="151" t="s">
        <v>193</v>
      </c>
      <c r="N9" s="151" t="s">
        <v>193</v>
      </c>
    </row>
    <row r="10" spans="1:15">
      <c r="A10" s="426">
        <v>2</v>
      </c>
      <c r="B10" s="152" t="s">
        <v>195</v>
      </c>
      <c r="C10" s="153">
        <v>473</v>
      </c>
      <c r="D10" s="153">
        <v>462</v>
      </c>
      <c r="E10" s="153">
        <v>444</v>
      </c>
      <c r="F10" s="153">
        <v>510</v>
      </c>
      <c r="G10" s="153">
        <v>471</v>
      </c>
      <c r="H10" s="153">
        <v>473</v>
      </c>
      <c r="I10" s="153">
        <v>538</v>
      </c>
      <c r="J10" s="153">
        <v>532</v>
      </c>
      <c r="K10" s="153">
        <v>542</v>
      </c>
      <c r="L10" s="153">
        <v>0</v>
      </c>
      <c r="M10" s="153">
        <v>0</v>
      </c>
      <c r="N10" s="153">
        <v>0</v>
      </c>
    </row>
    <row r="11" spans="1:15">
      <c r="A11" s="427"/>
      <c r="B11" s="152" t="s">
        <v>196</v>
      </c>
      <c r="C11" s="153">
        <v>473</v>
      </c>
      <c r="D11" s="153">
        <v>462</v>
      </c>
      <c r="E11" s="153">
        <v>444</v>
      </c>
      <c r="F11" s="153">
        <v>510</v>
      </c>
      <c r="G11" s="153">
        <v>470</v>
      </c>
      <c r="H11" s="153">
        <v>473</v>
      </c>
      <c r="I11" s="153">
        <v>538</v>
      </c>
      <c r="J11" s="153">
        <v>529</v>
      </c>
      <c r="K11" s="153">
        <v>539</v>
      </c>
      <c r="L11" s="153">
        <v>0</v>
      </c>
      <c r="M11" s="153">
        <v>0</v>
      </c>
      <c r="N11" s="153">
        <v>0</v>
      </c>
    </row>
    <row r="12" spans="1:15">
      <c r="A12" s="407">
        <v>3</v>
      </c>
      <c r="B12" s="154" t="s">
        <v>197</v>
      </c>
      <c r="C12" s="155">
        <v>634</v>
      </c>
      <c r="D12" s="155">
        <v>660</v>
      </c>
      <c r="E12" s="155">
        <v>740</v>
      </c>
      <c r="F12" s="155">
        <v>810</v>
      </c>
      <c r="G12" s="155">
        <v>837</v>
      </c>
      <c r="H12" s="155">
        <v>751</v>
      </c>
      <c r="I12" s="155">
        <v>795</v>
      </c>
      <c r="J12" s="155">
        <v>809</v>
      </c>
      <c r="K12" s="155">
        <v>807</v>
      </c>
      <c r="L12" s="155">
        <v>0</v>
      </c>
      <c r="M12" s="155">
        <v>0</v>
      </c>
      <c r="N12" s="155">
        <v>0</v>
      </c>
    </row>
    <row r="13" spans="1:15">
      <c r="A13" s="408"/>
      <c r="B13" s="154" t="s">
        <v>198</v>
      </c>
      <c r="C13" s="155">
        <v>732</v>
      </c>
      <c r="D13" s="155">
        <v>760</v>
      </c>
      <c r="E13" s="155">
        <v>817</v>
      </c>
      <c r="F13" s="155">
        <v>906</v>
      </c>
      <c r="G13" s="155">
        <v>943</v>
      </c>
      <c r="H13" s="155">
        <v>856</v>
      </c>
      <c r="I13" s="155">
        <v>876</v>
      </c>
      <c r="J13" s="155">
        <v>899</v>
      </c>
      <c r="K13" s="155">
        <v>904</v>
      </c>
      <c r="L13" s="155">
        <v>0</v>
      </c>
      <c r="M13" s="155">
        <v>0</v>
      </c>
      <c r="N13" s="155">
        <v>0</v>
      </c>
    </row>
    <row r="14" spans="1:15">
      <c r="A14" s="409">
        <v>4</v>
      </c>
      <c r="B14" s="152" t="s">
        <v>199</v>
      </c>
      <c r="C14" s="153">
        <v>535</v>
      </c>
      <c r="D14" s="153">
        <v>619</v>
      </c>
      <c r="E14" s="153">
        <v>662</v>
      </c>
      <c r="F14" s="153">
        <v>688</v>
      </c>
      <c r="G14" s="153">
        <v>764</v>
      </c>
      <c r="H14" s="153">
        <v>717</v>
      </c>
      <c r="I14" s="153">
        <v>740</v>
      </c>
      <c r="J14" s="153">
        <v>744</v>
      </c>
      <c r="K14" s="153">
        <v>756</v>
      </c>
      <c r="L14" s="153">
        <v>0</v>
      </c>
      <c r="M14" s="153">
        <v>0</v>
      </c>
      <c r="N14" s="153">
        <v>0</v>
      </c>
    </row>
    <row r="15" spans="1:15">
      <c r="A15" s="410"/>
      <c r="B15" s="152" t="s">
        <v>200</v>
      </c>
      <c r="C15" s="153">
        <v>726</v>
      </c>
      <c r="D15" s="153">
        <v>818</v>
      </c>
      <c r="E15" s="153">
        <v>848</v>
      </c>
      <c r="F15" s="153">
        <v>949</v>
      </c>
      <c r="G15" s="153">
        <v>951</v>
      </c>
      <c r="H15" s="153">
        <v>936</v>
      </c>
      <c r="I15" s="153">
        <v>880</v>
      </c>
      <c r="J15" s="153">
        <v>887</v>
      </c>
      <c r="K15" s="153">
        <v>917</v>
      </c>
      <c r="L15" s="153">
        <v>0</v>
      </c>
      <c r="M15" s="153">
        <v>0</v>
      </c>
      <c r="N15" s="153">
        <v>0</v>
      </c>
    </row>
    <row r="16" spans="1:15">
      <c r="A16" s="403">
        <v>5</v>
      </c>
      <c r="B16" s="156" t="s">
        <v>201</v>
      </c>
      <c r="C16" s="157">
        <v>1466</v>
      </c>
      <c r="D16" s="157">
        <v>1528</v>
      </c>
      <c r="E16" s="157">
        <v>1530</v>
      </c>
      <c r="F16" s="157">
        <v>1618</v>
      </c>
      <c r="G16" s="157">
        <v>1603</v>
      </c>
      <c r="H16" s="157">
        <v>1525</v>
      </c>
      <c r="I16" s="157">
        <v>1777</v>
      </c>
      <c r="J16" s="157">
        <v>1714</v>
      </c>
      <c r="K16" s="157">
        <v>1814</v>
      </c>
      <c r="L16" s="157">
        <v>0</v>
      </c>
      <c r="M16" s="157">
        <v>0</v>
      </c>
      <c r="N16" s="157">
        <v>0</v>
      </c>
    </row>
    <row r="17" spans="1:14">
      <c r="A17" s="415"/>
      <c r="B17" s="156" t="s">
        <v>202</v>
      </c>
      <c r="C17" s="157">
        <v>1472</v>
      </c>
      <c r="D17" s="157">
        <v>1535</v>
      </c>
      <c r="E17" s="157">
        <v>1533</v>
      </c>
      <c r="F17" s="157">
        <v>1622</v>
      </c>
      <c r="G17" s="157">
        <v>1607</v>
      </c>
      <c r="H17" s="157">
        <v>1530</v>
      </c>
      <c r="I17" s="157">
        <v>1781</v>
      </c>
      <c r="J17" s="157">
        <v>1720</v>
      </c>
      <c r="K17" s="157">
        <v>1823</v>
      </c>
      <c r="L17" s="157">
        <v>0</v>
      </c>
      <c r="M17" s="157">
        <v>0</v>
      </c>
      <c r="N17" s="157">
        <v>0</v>
      </c>
    </row>
    <row r="18" spans="1:14">
      <c r="A18" s="411">
        <v>6</v>
      </c>
      <c r="B18" s="158" t="s">
        <v>203</v>
      </c>
      <c r="C18" s="159">
        <v>0</v>
      </c>
      <c r="D18" s="159">
        <v>0</v>
      </c>
      <c r="E18" s="159">
        <v>0</v>
      </c>
      <c r="F18" s="159">
        <v>0</v>
      </c>
      <c r="G18" s="159">
        <v>0</v>
      </c>
      <c r="H18" s="159">
        <v>0</v>
      </c>
      <c r="I18" s="159">
        <v>0</v>
      </c>
      <c r="J18" s="159">
        <v>0</v>
      </c>
      <c r="K18" s="159">
        <v>1</v>
      </c>
      <c r="L18" s="159">
        <v>0</v>
      </c>
      <c r="M18" s="159">
        <v>0</v>
      </c>
      <c r="N18" s="159">
        <v>0</v>
      </c>
    </row>
    <row r="19" spans="1:14">
      <c r="A19" s="412"/>
      <c r="B19" s="158" t="s">
        <v>204</v>
      </c>
      <c r="C19" s="159">
        <v>0</v>
      </c>
      <c r="D19" s="159">
        <v>0</v>
      </c>
      <c r="E19" s="159">
        <v>0</v>
      </c>
      <c r="F19" s="159">
        <v>0</v>
      </c>
      <c r="G19" s="159">
        <v>0</v>
      </c>
      <c r="H19" s="159">
        <v>0</v>
      </c>
      <c r="I19" s="159">
        <v>0</v>
      </c>
      <c r="J19" s="159">
        <v>0</v>
      </c>
      <c r="K19" s="159">
        <v>1</v>
      </c>
      <c r="L19" s="159">
        <v>0</v>
      </c>
      <c r="M19" s="159">
        <v>0</v>
      </c>
      <c r="N19" s="159">
        <v>0</v>
      </c>
    </row>
    <row r="20" spans="1:14">
      <c r="A20" s="403">
        <v>7</v>
      </c>
      <c r="B20" s="156" t="s">
        <v>205</v>
      </c>
      <c r="C20" s="157">
        <v>0</v>
      </c>
      <c r="D20" s="157">
        <v>0</v>
      </c>
      <c r="E20" s="157">
        <v>0</v>
      </c>
      <c r="F20" s="157">
        <v>0</v>
      </c>
      <c r="G20" s="157">
        <v>0</v>
      </c>
      <c r="H20" s="157">
        <v>0</v>
      </c>
      <c r="I20" s="157">
        <v>0</v>
      </c>
      <c r="J20" s="157">
        <v>0</v>
      </c>
      <c r="K20" s="157">
        <v>0</v>
      </c>
      <c r="L20" s="157">
        <v>0</v>
      </c>
      <c r="M20" s="157">
        <v>0</v>
      </c>
      <c r="N20" s="157">
        <v>0</v>
      </c>
    </row>
    <row r="21" spans="1:14">
      <c r="A21" s="404"/>
      <c r="B21" s="156" t="s">
        <v>206</v>
      </c>
      <c r="C21" s="157">
        <v>0</v>
      </c>
      <c r="D21" s="157">
        <v>0</v>
      </c>
      <c r="E21" s="157">
        <v>0</v>
      </c>
      <c r="F21" s="157">
        <v>0</v>
      </c>
      <c r="G21" s="157">
        <v>0</v>
      </c>
      <c r="H21" s="157">
        <v>0</v>
      </c>
      <c r="I21" s="157">
        <v>0</v>
      </c>
      <c r="J21" s="157">
        <v>0</v>
      </c>
      <c r="K21" s="157">
        <v>0</v>
      </c>
      <c r="L21" s="157">
        <v>0</v>
      </c>
      <c r="M21" s="157">
        <v>0</v>
      </c>
      <c r="N21" s="157">
        <v>0</v>
      </c>
    </row>
    <row r="22" spans="1:14">
      <c r="A22" s="413">
        <v>8</v>
      </c>
      <c r="B22" s="160" t="s">
        <v>207</v>
      </c>
      <c r="C22" s="161">
        <v>0</v>
      </c>
      <c r="D22" s="161">
        <v>0</v>
      </c>
      <c r="E22" s="161">
        <v>0</v>
      </c>
      <c r="F22" s="161">
        <v>0</v>
      </c>
      <c r="G22" s="161">
        <v>0</v>
      </c>
      <c r="H22" s="161">
        <v>0</v>
      </c>
      <c r="I22" s="161">
        <v>0</v>
      </c>
      <c r="J22" s="161">
        <v>0</v>
      </c>
      <c r="K22" s="161">
        <v>0</v>
      </c>
      <c r="L22" s="161">
        <v>0</v>
      </c>
      <c r="M22" s="161">
        <v>0</v>
      </c>
      <c r="N22" s="161">
        <v>0</v>
      </c>
    </row>
    <row r="23" spans="1:14">
      <c r="A23" s="414"/>
      <c r="B23" s="160" t="s">
        <v>208</v>
      </c>
      <c r="C23" s="161">
        <v>0</v>
      </c>
      <c r="D23" s="161">
        <v>0</v>
      </c>
      <c r="E23" s="161">
        <v>0</v>
      </c>
      <c r="F23" s="161">
        <v>0</v>
      </c>
      <c r="G23" s="161">
        <v>0</v>
      </c>
      <c r="H23" s="161">
        <v>0</v>
      </c>
      <c r="I23" s="161">
        <v>0</v>
      </c>
      <c r="J23" s="161">
        <v>0</v>
      </c>
      <c r="K23" s="161">
        <v>0</v>
      </c>
      <c r="L23" s="161">
        <v>0</v>
      </c>
      <c r="M23" s="161">
        <v>0</v>
      </c>
      <c r="N23" s="161">
        <v>0</v>
      </c>
    </row>
    <row r="24" spans="1:14">
      <c r="A24" s="403">
        <v>9</v>
      </c>
      <c r="B24" s="156" t="s">
        <v>209</v>
      </c>
      <c r="C24" s="157" t="s">
        <v>193</v>
      </c>
      <c r="D24" s="157" t="s">
        <v>193</v>
      </c>
      <c r="E24" s="157" t="s">
        <v>193</v>
      </c>
      <c r="F24" s="157" t="s">
        <v>193</v>
      </c>
      <c r="G24" s="157" t="s">
        <v>193</v>
      </c>
      <c r="H24" s="157" t="s">
        <v>193</v>
      </c>
      <c r="I24" s="157" t="s">
        <v>193</v>
      </c>
      <c r="J24" s="157" t="s">
        <v>193</v>
      </c>
      <c r="K24" s="157" t="s">
        <v>193</v>
      </c>
      <c r="L24" s="157" t="s">
        <v>193</v>
      </c>
      <c r="M24" s="157" t="s">
        <v>193</v>
      </c>
      <c r="N24" s="157" t="s">
        <v>193</v>
      </c>
    </row>
    <row r="25" spans="1:14">
      <c r="A25" s="404"/>
      <c r="B25" s="156" t="s">
        <v>210</v>
      </c>
      <c r="C25" s="157" t="s">
        <v>193</v>
      </c>
      <c r="D25" s="157" t="s">
        <v>193</v>
      </c>
      <c r="E25" s="157" t="s">
        <v>193</v>
      </c>
      <c r="F25" s="157" t="s">
        <v>193</v>
      </c>
      <c r="G25" s="157" t="s">
        <v>193</v>
      </c>
      <c r="H25" s="157" t="s">
        <v>193</v>
      </c>
      <c r="I25" s="157" t="s">
        <v>193</v>
      </c>
      <c r="J25" s="157" t="s">
        <v>193</v>
      </c>
      <c r="K25" s="157" t="s">
        <v>193</v>
      </c>
      <c r="L25" s="157" t="s">
        <v>193</v>
      </c>
      <c r="M25" s="157" t="s">
        <v>193</v>
      </c>
      <c r="N25" s="157" t="s">
        <v>193</v>
      </c>
    </row>
    <row r="26" spans="1:14">
      <c r="A26" s="405">
        <v>10</v>
      </c>
      <c r="B26" s="162" t="s">
        <v>211</v>
      </c>
      <c r="C26" s="163" t="s">
        <v>193</v>
      </c>
      <c r="D26" s="163" t="s">
        <v>193</v>
      </c>
      <c r="E26" s="163" t="s">
        <v>193</v>
      </c>
      <c r="F26" s="163" t="s">
        <v>193</v>
      </c>
      <c r="G26" s="163" t="s">
        <v>193</v>
      </c>
      <c r="H26" s="163" t="s">
        <v>193</v>
      </c>
      <c r="I26" s="163">
        <v>6</v>
      </c>
      <c r="J26" s="163">
        <v>12</v>
      </c>
      <c r="K26" s="163">
        <v>13</v>
      </c>
      <c r="L26" s="163" t="s">
        <v>193</v>
      </c>
      <c r="M26" s="163" t="s">
        <v>193</v>
      </c>
      <c r="N26" s="163" t="s">
        <v>193</v>
      </c>
    </row>
    <row r="27" spans="1:14">
      <c r="A27" s="406"/>
      <c r="B27" s="162" t="s">
        <v>212</v>
      </c>
      <c r="C27" s="163" t="s">
        <v>193</v>
      </c>
      <c r="D27" s="163" t="s">
        <v>193</v>
      </c>
      <c r="E27" s="163" t="s">
        <v>193</v>
      </c>
      <c r="F27" s="163" t="s">
        <v>193</v>
      </c>
      <c r="G27" s="163" t="s">
        <v>193</v>
      </c>
      <c r="H27" s="163" t="s">
        <v>193</v>
      </c>
      <c r="I27" s="163">
        <v>10</v>
      </c>
      <c r="J27" s="163">
        <v>15</v>
      </c>
      <c r="K27" s="163">
        <v>16</v>
      </c>
      <c r="L27" s="163" t="s">
        <v>193</v>
      </c>
      <c r="M27" s="163" t="s">
        <v>193</v>
      </c>
      <c r="N27" s="163" t="s">
        <v>193</v>
      </c>
    </row>
    <row r="28" spans="1:14">
      <c r="A28" s="403">
        <v>11</v>
      </c>
      <c r="B28" s="156" t="s">
        <v>213</v>
      </c>
      <c r="C28" s="157" t="s">
        <v>193</v>
      </c>
      <c r="D28" s="157" t="s">
        <v>193</v>
      </c>
      <c r="E28" s="157" t="s">
        <v>193</v>
      </c>
      <c r="F28" s="157" t="s">
        <v>193</v>
      </c>
      <c r="G28" s="157" t="s">
        <v>193</v>
      </c>
      <c r="H28" s="157" t="s">
        <v>193</v>
      </c>
      <c r="I28" s="157">
        <v>8</v>
      </c>
      <c r="J28" s="157">
        <v>12</v>
      </c>
      <c r="K28" s="157">
        <v>17</v>
      </c>
      <c r="L28" s="157" t="s">
        <v>193</v>
      </c>
      <c r="M28" s="157" t="s">
        <v>193</v>
      </c>
      <c r="N28" s="157" t="s">
        <v>193</v>
      </c>
    </row>
    <row r="29" spans="1:14">
      <c r="A29" s="404"/>
      <c r="B29" s="156" t="s">
        <v>214</v>
      </c>
      <c r="C29" s="157" t="s">
        <v>193</v>
      </c>
      <c r="D29" s="157" t="s">
        <v>193</v>
      </c>
      <c r="E29" s="157" t="s">
        <v>193</v>
      </c>
      <c r="F29" s="157" t="s">
        <v>193</v>
      </c>
      <c r="G29" s="157" t="s">
        <v>193</v>
      </c>
      <c r="H29" s="157" t="s">
        <v>193</v>
      </c>
      <c r="I29" s="157">
        <v>10</v>
      </c>
      <c r="J29" s="157">
        <v>15</v>
      </c>
      <c r="K29" s="157">
        <v>27</v>
      </c>
      <c r="L29" s="157" t="s">
        <v>193</v>
      </c>
      <c r="M29" s="157" t="s">
        <v>193</v>
      </c>
      <c r="N29" s="157" t="s">
        <v>193</v>
      </c>
    </row>
  </sheetData>
  <mergeCells count="19">
    <mergeCell ref="A6:B6"/>
    <mergeCell ref="C6:O6"/>
    <mergeCell ref="A7:B7"/>
    <mergeCell ref="A8:A9"/>
    <mergeCell ref="A10:A11"/>
    <mergeCell ref="A1:B2"/>
    <mergeCell ref="C1:O1"/>
    <mergeCell ref="A3:B3"/>
    <mergeCell ref="A4:B4"/>
    <mergeCell ref="A5:B5"/>
    <mergeCell ref="A24:A25"/>
    <mergeCell ref="A26:A27"/>
    <mergeCell ref="A28:A29"/>
    <mergeCell ref="A12:A13"/>
    <mergeCell ref="A14:A15"/>
    <mergeCell ref="A18:A19"/>
    <mergeCell ref="A20:A21"/>
    <mergeCell ref="A22:A23"/>
    <mergeCell ref="A16:A17"/>
  </mergeCells>
  <pageMargins left="0.511811024" right="0.511811024" top="0.78740157499999996" bottom="0.78740157499999996" header="0.31496062000000002" footer="0.31496062000000002"/>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92350-DAB5-4FBD-87C6-2DA55E66C0F0}">
  <dimension ref="A1:O19"/>
  <sheetViews>
    <sheetView workbookViewId="0">
      <selection activeCell="C4" sqref="C4:K5"/>
    </sheetView>
  </sheetViews>
  <sheetFormatPr defaultRowHeight="15"/>
  <cols>
    <col min="1" max="1" width="14.85546875" customWidth="1"/>
    <col min="2" max="2" width="45.85546875" customWidth="1"/>
  </cols>
  <sheetData>
    <row r="1" spans="1:15" ht="15.75" thickBot="1">
      <c r="A1" s="206" t="s">
        <v>215</v>
      </c>
      <c r="B1" s="416"/>
      <c r="C1" s="428">
        <v>2025</v>
      </c>
      <c r="D1" s="428"/>
      <c r="E1" s="428"/>
      <c r="F1" s="428"/>
      <c r="G1" s="428"/>
      <c r="H1" s="428"/>
      <c r="I1" s="428"/>
      <c r="J1" s="428"/>
      <c r="K1" s="428"/>
      <c r="L1" s="428"/>
      <c r="M1" s="428"/>
      <c r="N1" s="428"/>
      <c r="O1" s="428"/>
    </row>
    <row r="2" spans="1:15" ht="15.75" customHeight="1" thickBot="1">
      <c r="A2" s="417"/>
      <c r="B2" s="418"/>
      <c r="C2" s="57">
        <v>1</v>
      </c>
      <c r="D2" s="57">
        <v>1</v>
      </c>
      <c r="E2" s="57">
        <v>1</v>
      </c>
      <c r="F2" s="57">
        <v>1</v>
      </c>
      <c r="G2" s="57">
        <v>0.99</v>
      </c>
      <c r="H2" s="57">
        <v>1</v>
      </c>
      <c r="I2" s="57">
        <v>0.97</v>
      </c>
      <c r="J2" s="57">
        <v>0.99</v>
      </c>
      <c r="K2" s="57">
        <v>1</v>
      </c>
      <c r="L2" s="58"/>
      <c r="M2" s="58"/>
      <c r="N2" s="58"/>
      <c r="O2" s="88">
        <f>MEDIAN(C2:N2)</f>
        <v>1</v>
      </c>
    </row>
    <row r="3" spans="1:15" ht="15.75" thickBot="1">
      <c r="A3" s="430" t="s">
        <v>2</v>
      </c>
      <c r="B3" s="430"/>
      <c r="C3" s="176" t="s">
        <v>3</v>
      </c>
      <c r="D3" s="176" t="s">
        <v>4</v>
      </c>
      <c r="E3" s="176" t="s">
        <v>5</v>
      </c>
      <c r="F3" s="176" t="s">
        <v>6</v>
      </c>
      <c r="G3" s="176" t="s">
        <v>7</v>
      </c>
      <c r="H3" s="176" t="s">
        <v>8</v>
      </c>
      <c r="I3" s="176" t="s">
        <v>9</v>
      </c>
      <c r="J3" s="176" t="s">
        <v>10</v>
      </c>
      <c r="K3" s="176" t="s">
        <v>11</v>
      </c>
      <c r="L3" s="176" t="s">
        <v>12</v>
      </c>
      <c r="M3" s="176" t="s">
        <v>13</v>
      </c>
      <c r="N3" s="176" t="s">
        <v>14</v>
      </c>
      <c r="O3" s="60" t="s">
        <v>125</v>
      </c>
    </row>
    <row r="4" spans="1:15" ht="40.5" customHeight="1" thickBot="1">
      <c r="A4" s="384" t="s">
        <v>216</v>
      </c>
      <c r="B4" s="384"/>
      <c r="C4" s="59">
        <v>129</v>
      </c>
      <c r="D4" s="59">
        <v>126</v>
      </c>
      <c r="E4" s="59">
        <v>204</v>
      </c>
      <c r="F4" s="59">
        <v>148</v>
      </c>
      <c r="G4" s="59">
        <v>84</v>
      </c>
      <c r="H4" s="59">
        <v>97</v>
      </c>
      <c r="I4" s="59">
        <v>87</v>
      </c>
      <c r="J4" s="59">
        <v>117</v>
      </c>
      <c r="K4" s="59">
        <v>91</v>
      </c>
      <c r="L4" s="59">
        <v>0</v>
      </c>
      <c r="M4" s="59">
        <v>0</v>
      </c>
      <c r="N4" s="59">
        <v>0</v>
      </c>
      <c r="O4" s="61">
        <f>MEDIAN(C4:N4)</f>
        <v>94</v>
      </c>
    </row>
    <row r="5" spans="1:15" ht="40.5" customHeight="1" thickBot="1">
      <c r="A5" s="384" t="s">
        <v>217</v>
      </c>
      <c r="B5" s="384"/>
      <c r="C5" s="59">
        <v>129</v>
      </c>
      <c r="D5" s="59">
        <v>126</v>
      </c>
      <c r="E5" s="59">
        <v>204</v>
      </c>
      <c r="F5" s="59">
        <v>148</v>
      </c>
      <c r="G5" s="59">
        <v>85</v>
      </c>
      <c r="H5" s="59">
        <v>97</v>
      </c>
      <c r="I5" s="59">
        <v>90</v>
      </c>
      <c r="J5" s="59">
        <v>118</v>
      </c>
      <c r="K5" s="59">
        <v>91</v>
      </c>
      <c r="L5" s="59">
        <v>0</v>
      </c>
      <c r="M5" s="59">
        <v>0</v>
      </c>
      <c r="N5" s="59">
        <v>0</v>
      </c>
      <c r="O5" s="61">
        <f>MEDIAN(C5:N5)</f>
        <v>94</v>
      </c>
    </row>
    <row r="6" spans="1:15" ht="15.75" thickBot="1">
      <c r="A6" s="421" t="s">
        <v>61</v>
      </c>
      <c r="B6" s="421"/>
      <c r="C6" s="429"/>
      <c r="D6" s="429"/>
      <c r="E6" s="429"/>
      <c r="F6" s="429"/>
      <c r="G6" s="429"/>
      <c r="H6" s="429"/>
      <c r="I6" s="429"/>
      <c r="J6" s="429"/>
      <c r="K6" s="429"/>
      <c r="L6" s="429"/>
      <c r="M6" s="429"/>
      <c r="N6" s="429"/>
      <c r="O6" s="429"/>
    </row>
    <row r="7" spans="1:15" ht="15.75" thickBot="1">
      <c r="A7" s="169" t="s">
        <v>2</v>
      </c>
      <c r="B7" s="178" t="s">
        <v>20</v>
      </c>
      <c r="C7" s="178"/>
      <c r="D7" s="179" t="s">
        <v>21</v>
      </c>
      <c r="E7" s="179"/>
      <c r="F7" s="179"/>
      <c r="G7" s="180" t="s">
        <v>22</v>
      </c>
      <c r="H7" s="180"/>
      <c r="I7" s="180"/>
      <c r="J7" s="181" t="s">
        <v>23</v>
      </c>
      <c r="K7" s="181"/>
      <c r="L7" s="181"/>
      <c r="M7" s="182" t="s">
        <v>24</v>
      </c>
      <c r="N7" s="182"/>
      <c r="O7" s="182"/>
    </row>
    <row r="8" spans="1:15" ht="15.75" thickBot="1">
      <c r="A8" s="50" t="s">
        <v>63</v>
      </c>
      <c r="B8" s="235"/>
      <c r="C8" s="235"/>
      <c r="D8" s="186"/>
      <c r="E8" s="186"/>
      <c r="F8" s="186"/>
      <c r="G8" s="186"/>
      <c r="H8" s="186"/>
      <c r="I8" s="186"/>
      <c r="J8" s="186"/>
      <c r="K8" s="186"/>
      <c r="L8" s="186"/>
      <c r="M8" s="186"/>
      <c r="N8" s="186"/>
      <c r="O8" s="186"/>
    </row>
    <row r="9" spans="1:15" ht="15.75" thickBot="1">
      <c r="A9" s="50" t="s">
        <v>69</v>
      </c>
      <c r="B9" s="235"/>
      <c r="C9" s="235"/>
      <c r="D9" s="186"/>
      <c r="E9" s="186"/>
      <c r="F9" s="186"/>
      <c r="G9" s="186"/>
      <c r="H9" s="186"/>
      <c r="I9" s="186"/>
      <c r="J9" s="186"/>
      <c r="K9" s="186"/>
      <c r="L9" s="186"/>
      <c r="M9" s="186"/>
      <c r="N9" s="186"/>
      <c r="O9" s="186"/>
    </row>
    <row r="10" spans="1:15" ht="15.75" thickBot="1">
      <c r="A10" s="50" t="s">
        <v>71</v>
      </c>
      <c r="B10" s="235"/>
      <c r="C10" s="235"/>
      <c r="D10" s="186"/>
      <c r="E10" s="186"/>
      <c r="F10" s="186"/>
      <c r="G10" s="186"/>
      <c r="H10" s="186"/>
      <c r="I10" s="186"/>
      <c r="J10" s="186"/>
      <c r="K10" s="186"/>
      <c r="L10" s="186"/>
      <c r="M10" s="186"/>
      <c r="N10" s="186"/>
      <c r="O10" s="186"/>
    </row>
    <row r="11" spans="1:15" ht="15.75" thickBot="1">
      <c r="A11" s="50" t="s">
        <v>73</v>
      </c>
      <c r="B11" s="235"/>
      <c r="C11" s="235"/>
      <c r="D11" s="186"/>
      <c r="E11" s="186"/>
      <c r="F11" s="186"/>
      <c r="G11" s="186"/>
      <c r="H11" s="186"/>
      <c r="I11" s="186"/>
      <c r="J11" s="186"/>
      <c r="K11" s="186"/>
      <c r="L11" s="186"/>
      <c r="M11" s="186"/>
      <c r="N11" s="186"/>
      <c r="O11" s="186"/>
    </row>
    <row r="12" spans="1:15" ht="15.75" thickBot="1">
      <c r="A12" s="50" t="s">
        <v>79</v>
      </c>
      <c r="B12" s="235"/>
      <c r="C12" s="235"/>
      <c r="D12" s="186"/>
      <c r="E12" s="186"/>
      <c r="F12" s="186"/>
      <c r="G12" s="186"/>
      <c r="H12" s="186"/>
      <c r="I12" s="186"/>
      <c r="J12" s="186"/>
      <c r="K12" s="186"/>
      <c r="L12" s="186"/>
      <c r="M12" s="186"/>
      <c r="N12" s="186"/>
      <c r="O12" s="186"/>
    </row>
    <row r="13" spans="1:15" ht="15.75" thickBot="1">
      <c r="A13" s="50" t="s">
        <v>81</v>
      </c>
      <c r="B13" s="235"/>
      <c r="C13" s="235"/>
      <c r="D13" s="186"/>
      <c r="E13" s="186"/>
      <c r="F13" s="186"/>
      <c r="G13" s="186"/>
      <c r="H13" s="186"/>
      <c r="I13" s="186"/>
      <c r="J13" s="186"/>
      <c r="K13" s="186"/>
      <c r="L13" s="186"/>
      <c r="M13" s="186"/>
      <c r="N13" s="186"/>
      <c r="O13" s="186"/>
    </row>
    <row r="14" spans="1:15" ht="15.75" thickBot="1">
      <c r="A14" s="50" t="s">
        <v>37</v>
      </c>
      <c r="B14" s="235"/>
      <c r="C14" s="235"/>
      <c r="D14" s="186"/>
      <c r="E14" s="186"/>
      <c r="F14" s="186"/>
      <c r="G14" s="186"/>
      <c r="H14" s="186"/>
      <c r="I14" s="186"/>
      <c r="J14" s="186"/>
      <c r="K14" s="186"/>
      <c r="L14" s="186"/>
      <c r="M14" s="186"/>
      <c r="N14" s="186"/>
      <c r="O14" s="186"/>
    </row>
    <row r="15" spans="1:15" ht="15.75" thickBot="1">
      <c r="A15" s="50" t="s">
        <v>43</v>
      </c>
      <c r="B15" s="235"/>
      <c r="C15" s="235"/>
      <c r="D15" s="186"/>
      <c r="E15" s="186"/>
      <c r="F15" s="186"/>
      <c r="G15" s="186"/>
      <c r="H15" s="186"/>
      <c r="I15" s="186"/>
      <c r="J15" s="186"/>
      <c r="K15" s="186"/>
      <c r="L15" s="186"/>
      <c r="M15" s="186"/>
      <c r="N15" s="186"/>
      <c r="O15" s="186"/>
    </row>
    <row r="16" spans="1:15" ht="15.75" thickBot="1">
      <c r="A16" s="50" t="s">
        <v>49</v>
      </c>
      <c r="B16" s="235"/>
      <c r="C16" s="235"/>
      <c r="D16" s="186"/>
      <c r="E16" s="186"/>
      <c r="F16" s="186"/>
      <c r="G16" s="186"/>
      <c r="H16" s="186"/>
      <c r="I16" s="186"/>
      <c r="J16" s="186"/>
      <c r="K16" s="186"/>
      <c r="L16" s="186"/>
      <c r="M16" s="186"/>
      <c r="N16" s="186"/>
      <c r="O16" s="186"/>
    </row>
    <row r="17" spans="1:15" ht="15.75" thickBot="1">
      <c r="A17" s="50" t="s">
        <v>55</v>
      </c>
      <c r="B17" s="235"/>
      <c r="C17" s="235"/>
      <c r="D17" s="186"/>
      <c r="E17" s="186"/>
      <c r="F17" s="186"/>
      <c r="G17" s="186"/>
      <c r="H17" s="186"/>
      <c r="I17" s="186"/>
      <c r="J17" s="186"/>
      <c r="K17" s="186"/>
      <c r="L17" s="186"/>
      <c r="M17" s="186"/>
      <c r="N17" s="186"/>
      <c r="O17" s="186"/>
    </row>
    <row r="18" spans="1:15" ht="15.75" thickBot="1">
      <c r="A18" s="50" t="s">
        <v>56</v>
      </c>
      <c r="B18" s="235"/>
      <c r="C18" s="235"/>
      <c r="D18" s="186"/>
      <c r="E18" s="186"/>
      <c r="F18" s="186"/>
      <c r="G18" s="186"/>
      <c r="H18" s="186"/>
      <c r="I18" s="186"/>
      <c r="J18" s="186"/>
      <c r="K18" s="186"/>
      <c r="L18" s="186"/>
      <c r="M18" s="186"/>
      <c r="N18" s="186"/>
      <c r="O18" s="186"/>
    </row>
    <row r="19" spans="1:15" ht="15.75" thickBot="1">
      <c r="A19" s="50" t="s">
        <v>57</v>
      </c>
      <c r="B19" s="235"/>
      <c r="C19" s="235"/>
      <c r="D19" s="186"/>
      <c r="E19" s="186"/>
      <c r="F19" s="186"/>
      <c r="G19" s="186"/>
      <c r="H19" s="186"/>
      <c r="I19" s="186"/>
      <c r="J19" s="186"/>
      <c r="K19" s="186"/>
      <c r="L19" s="186"/>
      <c r="M19" s="186"/>
      <c r="N19" s="186"/>
      <c r="O19" s="186"/>
    </row>
  </sheetData>
  <mergeCells count="72">
    <mergeCell ref="A5:B5"/>
    <mergeCell ref="A6:B6"/>
    <mergeCell ref="C1:O1"/>
    <mergeCell ref="C6:O6"/>
    <mergeCell ref="B7:C7"/>
    <mergeCell ref="D7:F7"/>
    <mergeCell ref="G7:I7"/>
    <mergeCell ref="J7:L7"/>
    <mergeCell ref="M7:O7"/>
    <mergeCell ref="A1:B2"/>
    <mergeCell ref="A3:B3"/>
    <mergeCell ref="A4:B4"/>
    <mergeCell ref="B9:C9"/>
    <mergeCell ref="D9:F9"/>
    <mergeCell ref="G9:I9"/>
    <mergeCell ref="J9:L9"/>
    <mergeCell ref="M9:O9"/>
    <mergeCell ref="B8:C8"/>
    <mergeCell ref="D8:F8"/>
    <mergeCell ref="G8:I8"/>
    <mergeCell ref="J8:L8"/>
    <mergeCell ref="M8:O8"/>
    <mergeCell ref="B11:C11"/>
    <mergeCell ref="D11:F11"/>
    <mergeCell ref="G11:I11"/>
    <mergeCell ref="J11:L11"/>
    <mergeCell ref="M11:O11"/>
    <mergeCell ref="B10:C10"/>
    <mergeCell ref="D10:F10"/>
    <mergeCell ref="G10:I10"/>
    <mergeCell ref="J10:L10"/>
    <mergeCell ref="M10:O10"/>
    <mergeCell ref="B13:C13"/>
    <mergeCell ref="D13:F13"/>
    <mergeCell ref="G13:I13"/>
    <mergeCell ref="J13:L13"/>
    <mergeCell ref="M13:O13"/>
    <mergeCell ref="B12:C12"/>
    <mergeCell ref="D12:F12"/>
    <mergeCell ref="G12:I12"/>
    <mergeCell ref="J12:L12"/>
    <mergeCell ref="M12:O12"/>
    <mergeCell ref="B15:C15"/>
    <mergeCell ref="D15:F15"/>
    <mergeCell ref="G15:I15"/>
    <mergeCell ref="J15:L15"/>
    <mergeCell ref="M15:O15"/>
    <mergeCell ref="B14:C14"/>
    <mergeCell ref="D14:F14"/>
    <mergeCell ref="G14:I14"/>
    <mergeCell ref="J14:L14"/>
    <mergeCell ref="M14:O14"/>
    <mergeCell ref="B17:C17"/>
    <mergeCell ref="D17:F17"/>
    <mergeCell ref="G17:I17"/>
    <mergeCell ref="J17:L17"/>
    <mergeCell ref="M17:O17"/>
    <mergeCell ref="B16:C16"/>
    <mergeCell ref="D16:F16"/>
    <mergeCell ref="G16:I16"/>
    <mergeCell ref="J16:L16"/>
    <mergeCell ref="M16:O16"/>
    <mergeCell ref="B19:C19"/>
    <mergeCell ref="D19:F19"/>
    <mergeCell ref="G19:I19"/>
    <mergeCell ref="J19:L19"/>
    <mergeCell ref="M19:O19"/>
    <mergeCell ref="B18:C18"/>
    <mergeCell ref="D18:F18"/>
    <mergeCell ref="G18:I18"/>
    <mergeCell ref="J18:L18"/>
    <mergeCell ref="M18:O18"/>
  </mergeCells>
  <phoneticPr fontId="15" type="noConversion"/>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8166-ADBA-45D7-B431-BBCAC55970A9}">
  <dimension ref="A1:O19"/>
  <sheetViews>
    <sheetView workbookViewId="0">
      <selection activeCell="C4" sqref="C4:K5"/>
    </sheetView>
  </sheetViews>
  <sheetFormatPr defaultRowHeight="15"/>
  <cols>
    <col min="2" max="2" width="46" customWidth="1"/>
    <col min="15" max="15" width="11.42578125" customWidth="1"/>
  </cols>
  <sheetData>
    <row r="1" spans="1:15" ht="15.75" thickBot="1">
      <c r="A1" s="206" t="s">
        <v>218</v>
      </c>
      <c r="B1" s="416"/>
      <c r="C1" s="419">
        <v>2025</v>
      </c>
      <c r="D1" s="419"/>
      <c r="E1" s="419"/>
      <c r="F1" s="419"/>
      <c r="G1" s="419"/>
      <c r="H1" s="419"/>
      <c r="I1" s="419"/>
      <c r="J1" s="419"/>
      <c r="K1" s="419"/>
      <c r="L1" s="419"/>
      <c r="M1" s="419"/>
      <c r="N1" s="419"/>
      <c r="O1" s="419"/>
    </row>
    <row r="2" spans="1:15" ht="25.5" customHeight="1" thickBot="1">
      <c r="A2" s="417"/>
      <c r="B2" s="418"/>
      <c r="C2" s="104">
        <f>C4/C5</f>
        <v>4.076086956521739E-3</v>
      </c>
      <c r="D2" s="104">
        <f t="shared" ref="D2:K2" si="0">D4/D5</f>
        <v>4.560260586319218E-3</v>
      </c>
      <c r="E2" s="104">
        <f t="shared" si="0"/>
        <v>1.9569471624266144E-3</v>
      </c>
      <c r="F2" s="104">
        <f t="shared" si="0"/>
        <v>2.4660912453760789E-3</v>
      </c>
      <c r="G2" s="104">
        <f t="shared" si="0"/>
        <v>2.4891101431238332E-3</v>
      </c>
      <c r="H2" s="104">
        <f t="shared" si="0"/>
        <v>3.2679738562091504E-3</v>
      </c>
      <c r="I2" s="104">
        <f t="shared" si="0"/>
        <v>2.2459292532285235E-3</v>
      </c>
      <c r="J2" s="104">
        <f t="shared" si="0"/>
        <v>3.4883720930232558E-3</v>
      </c>
      <c r="K2" s="104">
        <f t="shared" si="0"/>
        <v>4.936917169500823E-3</v>
      </c>
      <c r="L2" s="58"/>
      <c r="M2" s="58"/>
      <c r="N2" s="58"/>
      <c r="O2" s="62">
        <f>MEDIAN(C2:N2)</f>
        <v>3.2679738562091504E-3</v>
      </c>
    </row>
    <row r="3" spans="1:15" ht="15.75" thickBot="1">
      <c r="A3" s="420" t="s">
        <v>2</v>
      </c>
      <c r="B3" s="420"/>
      <c r="C3" s="176" t="s">
        <v>3</v>
      </c>
      <c r="D3" s="176" t="s">
        <v>4</v>
      </c>
      <c r="E3" s="176" t="s">
        <v>5</v>
      </c>
      <c r="F3" s="176" t="s">
        <v>6</v>
      </c>
      <c r="G3" s="176" t="s">
        <v>7</v>
      </c>
      <c r="H3" s="176" t="s">
        <v>8</v>
      </c>
      <c r="I3" s="176" t="s">
        <v>9</v>
      </c>
      <c r="J3" s="176" t="s">
        <v>10</v>
      </c>
      <c r="K3" s="176" t="s">
        <v>11</v>
      </c>
      <c r="L3" s="176" t="s">
        <v>12</v>
      </c>
      <c r="M3" s="176" t="s">
        <v>13</v>
      </c>
      <c r="N3" s="176" t="s">
        <v>14</v>
      </c>
      <c r="O3" s="63" t="s">
        <v>125</v>
      </c>
    </row>
    <row r="4" spans="1:15" ht="33" customHeight="1" thickBot="1">
      <c r="A4" s="384" t="s">
        <v>219</v>
      </c>
      <c r="B4" s="384"/>
      <c r="C4" s="59">
        <v>6</v>
      </c>
      <c r="D4" s="59">
        <v>7</v>
      </c>
      <c r="E4" s="59">
        <v>3</v>
      </c>
      <c r="F4" s="59">
        <v>4</v>
      </c>
      <c r="G4" s="59">
        <v>4</v>
      </c>
      <c r="H4" s="59">
        <v>5</v>
      </c>
      <c r="I4" s="59">
        <v>4</v>
      </c>
      <c r="J4" s="59">
        <v>6</v>
      </c>
      <c r="K4" s="59">
        <v>9</v>
      </c>
      <c r="L4" s="59">
        <v>0</v>
      </c>
      <c r="M4" s="59">
        <v>0</v>
      </c>
      <c r="N4" s="59">
        <v>0</v>
      </c>
      <c r="O4" s="61">
        <f>MEDIAN(C4:N4)</f>
        <v>4</v>
      </c>
    </row>
    <row r="5" spans="1:15" ht="33" customHeight="1" thickBot="1">
      <c r="A5" s="384" t="s">
        <v>60</v>
      </c>
      <c r="B5" s="384"/>
      <c r="C5" s="59">
        <v>1472</v>
      </c>
      <c r="D5" s="59">
        <v>1535</v>
      </c>
      <c r="E5" s="59">
        <v>1533</v>
      </c>
      <c r="F5" s="59">
        <v>1622</v>
      </c>
      <c r="G5" s="59">
        <v>1607</v>
      </c>
      <c r="H5" s="59">
        <v>1530</v>
      </c>
      <c r="I5" s="59">
        <v>1781</v>
      </c>
      <c r="J5" s="59">
        <v>1720</v>
      </c>
      <c r="K5" s="59">
        <v>1823</v>
      </c>
      <c r="L5" s="59">
        <v>0</v>
      </c>
      <c r="M5" s="59">
        <v>0</v>
      </c>
      <c r="N5" s="59">
        <v>0</v>
      </c>
      <c r="O5" s="61">
        <f>MEDIAN(C5:N5)</f>
        <v>1534</v>
      </c>
    </row>
    <row r="6" spans="1:15" ht="15.75" thickBot="1">
      <c r="A6" s="431" t="s">
        <v>61</v>
      </c>
      <c r="B6" s="431"/>
      <c r="C6" s="432"/>
      <c r="D6" s="432"/>
      <c r="E6" s="432"/>
      <c r="F6" s="432"/>
      <c r="G6" s="432"/>
      <c r="H6" s="432"/>
      <c r="I6" s="432"/>
      <c r="J6" s="432"/>
      <c r="K6" s="432"/>
      <c r="L6" s="432"/>
      <c r="M6" s="432"/>
      <c r="N6" s="432"/>
      <c r="O6" s="432"/>
    </row>
    <row r="7" spans="1:15" ht="15.75" thickBot="1">
      <c r="A7" s="169" t="s">
        <v>2</v>
      </c>
      <c r="B7" s="178" t="s">
        <v>20</v>
      </c>
      <c r="C7" s="178"/>
      <c r="D7" s="179" t="s">
        <v>21</v>
      </c>
      <c r="E7" s="179"/>
      <c r="F7" s="179"/>
      <c r="G7" s="180" t="s">
        <v>22</v>
      </c>
      <c r="H7" s="180"/>
      <c r="I7" s="180"/>
      <c r="J7" s="181" t="s">
        <v>23</v>
      </c>
      <c r="K7" s="181"/>
      <c r="L7" s="181"/>
      <c r="M7" s="182" t="s">
        <v>24</v>
      </c>
      <c r="N7" s="182"/>
      <c r="O7" s="182"/>
    </row>
    <row r="8" spans="1:15" ht="15.75" thickBot="1">
      <c r="A8" s="50" t="s">
        <v>63</v>
      </c>
      <c r="B8" s="235"/>
      <c r="C8" s="235"/>
      <c r="D8" s="186"/>
      <c r="E8" s="186"/>
      <c r="F8" s="186"/>
      <c r="G8" s="186"/>
      <c r="H8" s="186"/>
      <c r="I8" s="186"/>
      <c r="J8" s="186"/>
      <c r="K8" s="186"/>
      <c r="L8" s="186"/>
      <c r="M8" s="186"/>
      <c r="N8" s="186"/>
      <c r="O8" s="186"/>
    </row>
    <row r="9" spans="1:15" ht="15.75" thickBot="1">
      <c r="A9" s="50" t="s">
        <v>69</v>
      </c>
      <c r="B9" s="235"/>
      <c r="C9" s="235"/>
      <c r="D9" s="186"/>
      <c r="E9" s="186"/>
      <c r="F9" s="186"/>
      <c r="G9" s="186"/>
      <c r="H9" s="186"/>
      <c r="I9" s="186"/>
      <c r="J9" s="186"/>
      <c r="K9" s="186"/>
      <c r="L9" s="186"/>
      <c r="M9" s="186"/>
      <c r="N9" s="186"/>
      <c r="O9" s="186"/>
    </row>
    <row r="10" spans="1:15" ht="15.75" thickBot="1">
      <c r="A10" s="50" t="s">
        <v>71</v>
      </c>
      <c r="B10" s="235"/>
      <c r="C10" s="235"/>
      <c r="D10" s="186"/>
      <c r="E10" s="186"/>
      <c r="F10" s="186"/>
      <c r="G10" s="186"/>
      <c r="H10" s="186"/>
      <c r="I10" s="186"/>
      <c r="J10" s="186"/>
      <c r="K10" s="186"/>
      <c r="L10" s="186"/>
      <c r="M10" s="186"/>
      <c r="N10" s="186"/>
      <c r="O10" s="186"/>
    </row>
    <row r="11" spans="1:15" ht="15.75" thickBot="1">
      <c r="A11" s="50" t="s">
        <v>73</v>
      </c>
      <c r="B11" s="235"/>
      <c r="C11" s="235"/>
      <c r="D11" s="186"/>
      <c r="E11" s="186"/>
      <c r="F11" s="186"/>
      <c r="G11" s="186"/>
      <c r="H11" s="186"/>
      <c r="I11" s="186"/>
      <c r="J11" s="186"/>
      <c r="K11" s="186"/>
      <c r="L11" s="186"/>
      <c r="M11" s="186"/>
      <c r="N11" s="186"/>
      <c r="O11" s="186"/>
    </row>
    <row r="12" spans="1:15" ht="15.75" thickBot="1">
      <c r="A12" s="50" t="s">
        <v>79</v>
      </c>
      <c r="B12" s="235"/>
      <c r="C12" s="235"/>
      <c r="D12" s="186"/>
      <c r="E12" s="186"/>
      <c r="F12" s="186"/>
      <c r="G12" s="186"/>
      <c r="H12" s="186"/>
      <c r="I12" s="186"/>
      <c r="J12" s="186"/>
      <c r="K12" s="186"/>
      <c r="L12" s="186"/>
      <c r="M12" s="186"/>
      <c r="N12" s="186"/>
      <c r="O12" s="186"/>
    </row>
    <row r="13" spans="1:15" ht="15.75" thickBot="1">
      <c r="A13" s="50" t="s">
        <v>81</v>
      </c>
      <c r="B13" s="235"/>
      <c r="C13" s="235"/>
      <c r="D13" s="186"/>
      <c r="E13" s="186"/>
      <c r="F13" s="186"/>
      <c r="G13" s="186"/>
      <c r="H13" s="186"/>
      <c r="I13" s="186"/>
      <c r="J13" s="186"/>
      <c r="K13" s="186"/>
      <c r="L13" s="186"/>
      <c r="M13" s="186"/>
      <c r="N13" s="186"/>
      <c r="O13" s="186"/>
    </row>
    <row r="14" spans="1:15" ht="15.75" thickBot="1">
      <c r="A14" s="50" t="s">
        <v>37</v>
      </c>
      <c r="B14" s="235"/>
      <c r="C14" s="235"/>
      <c r="D14" s="186"/>
      <c r="E14" s="186"/>
      <c r="F14" s="186"/>
      <c r="G14" s="186"/>
      <c r="H14" s="186"/>
      <c r="I14" s="186"/>
      <c r="J14" s="186"/>
      <c r="K14" s="186"/>
      <c r="L14" s="186"/>
      <c r="M14" s="186"/>
      <c r="N14" s="186"/>
      <c r="O14" s="186"/>
    </row>
    <row r="15" spans="1:15" ht="15.75" thickBot="1">
      <c r="A15" s="50" t="s">
        <v>43</v>
      </c>
      <c r="B15" s="235"/>
      <c r="C15" s="235"/>
      <c r="D15" s="186"/>
      <c r="E15" s="186"/>
      <c r="F15" s="186"/>
      <c r="G15" s="186"/>
      <c r="H15" s="186"/>
      <c r="I15" s="186"/>
      <c r="J15" s="186"/>
      <c r="K15" s="186"/>
      <c r="L15" s="186"/>
      <c r="M15" s="186"/>
      <c r="N15" s="186"/>
      <c r="O15" s="186"/>
    </row>
    <row r="16" spans="1:15" ht="15.75" thickBot="1">
      <c r="A16" s="50" t="s">
        <v>49</v>
      </c>
      <c r="B16" s="235"/>
      <c r="C16" s="235"/>
      <c r="D16" s="186"/>
      <c r="E16" s="186"/>
      <c r="F16" s="186"/>
      <c r="G16" s="186"/>
      <c r="H16" s="186"/>
      <c r="I16" s="186"/>
      <c r="J16" s="186"/>
      <c r="K16" s="186"/>
      <c r="L16" s="186"/>
      <c r="M16" s="186"/>
      <c r="N16" s="186"/>
      <c r="O16" s="186"/>
    </row>
    <row r="17" spans="1:15" ht="15.75" thickBot="1">
      <c r="A17" s="50" t="s">
        <v>55</v>
      </c>
      <c r="B17" s="235"/>
      <c r="C17" s="235"/>
      <c r="D17" s="186"/>
      <c r="E17" s="186"/>
      <c r="F17" s="186"/>
      <c r="G17" s="186"/>
      <c r="H17" s="186"/>
      <c r="I17" s="186"/>
      <c r="J17" s="186"/>
      <c r="K17" s="186"/>
      <c r="L17" s="186"/>
      <c r="M17" s="186"/>
      <c r="N17" s="186"/>
      <c r="O17" s="186"/>
    </row>
    <row r="18" spans="1:15" ht="15.75" thickBot="1">
      <c r="A18" s="50" t="s">
        <v>56</v>
      </c>
      <c r="B18" s="235"/>
      <c r="C18" s="235"/>
      <c r="D18" s="186"/>
      <c r="E18" s="186"/>
      <c r="F18" s="186"/>
      <c r="G18" s="186"/>
      <c r="H18" s="186"/>
      <c r="I18" s="186"/>
      <c r="J18" s="186"/>
      <c r="K18" s="186"/>
      <c r="L18" s="186"/>
      <c r="M18" s="186"/>
      <c r="N18" s="186"/>
      <c r="O18" s="186"/>
    </row>
    <row r="19" spans="1:15" ht="15.75" thickBot="1">
      <c r="A19" s="50" t="s">
        <v>57</v>
      </c>
      <c r="B19" s="235"/>
      <c r="C19" s="235"/>
      <c r="D19" s="186"/>
      <c r="E19" s="186"/>
      <c r="F19" s="186"/>
      <c r="G19" s="186"/>
      <c r="H19" s="186"/>
      <c r="I19" s="186"/>
      <c r="J19" s="186"/>
      <c r="K19" s="186"/>
      <c r="L19" s="186"/>
      <c r="M19" s="186"/>
      <c r="N19" s="186"/>
      <c r="O19" s="186"/>
    </row>
  </sheetData>
  <mergeCells count="72">
    <mergeCell ref="A6:B6"/>
    <mergeCell ref="C6:O6"/>
    <mergeCell ref="C1:O1"/>
    <mergeCell ref="B7:C7"/>
    <mergeCell ref="D7:F7"/>
    <mergeCell ref="G7:I7"/>
    <mergeCell ref="J7:L7"/>
    <mergeCell ref="M7:O7"/>
    <mergeCell ref="A1:B2"/>
    <mergeCell ref="A3:B3"/>
    <mergeCell ref="A4:B4"/>
    <mergeCell ref="A5:B5"/>
    <mergeCell ref="B9:C9"/>
    <mergeCell ref="D9:F9"/>
    <mergeCell ref="G9:I9"/>
    <mergeCell ref="J9:L9"/>
    <mergeCell ref="M9:O9"/>
    <mergeCell ref="B8:C8"/>
    <mergeCell ref="D8:F8"/>
    <mergeCell ref="G8:I8"/>
    <mergeCell ref="J8:L8"/>
    <mergeCell ref="M8:O8"/>
    <mergeCell ref="B11:C11"/>
    <mergeCell ref="D11:F11"/>
    <mergeCell ref="G11:I11"/>
    <mergeCell ref="J11:L11"/>
    <mergeCell ref="M11:O11"/>
    <mergeCell ref="B10:C10"/>
    <mergeCell ref="D10:F10"/>
    <mergeCell ref="G10:I10"/>
    <mergeCell ref="J10:L10"/>
    <mergeCell ref="M10:O10"/>
    <mergeCell ref="B13:C13"/>
    <mergeCell ref="D13:F13"/>
    <mergeCell ref="G13:I13"/>
    <mergeCell ref="J13:L13"/>
    <mergeCell ref="M13:O13"/>
    <mergeCell ref="B12:C12"/>
    <mergeCell ref="D12:F12"/>
    <mergeCell ref="G12:I12"/>
    <mergeCell ref="J12:L12"/>
    <mergeCell ref="M12:O12"/>
    <mergeCell ref="B15:C15"/>
    <mergeCell ref="D15:F15"/>
    <mergeCell ref="G15:I15"/>
    <mergeCell ref="J15:L15"/>
    <mergeCell ref="M15:O15"/>
    <mergeCell ref="B14:C14"/>
    <mergeCell ref="D14:F14"/>
    <mergeCell ref="G14:I14"/>
    <mergeCell ref="J14:L14"/>
    <mergeCell ref="M14:O14"/>
    <mergeCell ref="B17:C17"/>
    <mergeCell ref="D17:F17"/>
    <mergeCell ref="G17:I17"/>
    <mergeCell ref="J17:L17"/>
    <mergeCell ref="M17:O17"/>
    <mergeCell ref="B16:C16"/>
    <mergeCell ref="D16:F16"/>
    <mergeCell ref="G16:I16"/>
    <mergeCell ref="J16:L16"/>
    <mergeCell ref="M16:O16"/>
    <mergeCell ref="B19:C19"/>
    <mergeCell ref="D19:F19"/>
    <mergeCell ref="G19:I19"/>
    <mergeCell ref="J19:L19"/>
    <mergeCell ref="M19:O19"/>
    <mergeCell ref="B18:C18"/>
    <mergeCell ref="D18:F18"/>
    <mergeCell ref="G18:I18"/>
    <mergeCell ref="J18:L18"/>
    <mergeCell ref="M18:O18"/>
  </mergeCells>
  <phoneticPr fontId="15" type="noConversion"/>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C276-3FB3-4DF2-B3BF-C2057D0D027E}">
  <dimension ref="A1:O15"/>
  <sheetViews>
    <sheetView workbookViewId="0">
      <selection activeCell="F18" sqref="F18"/>
    </sheetView>
  </sheetViews>
  <sheetFormatPr defaultRowHeight="15"/>
  <cols>
    <col min="2" max="2" width="59.85546875" bestFit="1" customWidth="1"/>
  </cols>
  <sheetData>
    <row r="1" spans="1:15" ht="15.75" thickBot="1">
      <c r="A1" s="206" t="s">
        <v>220</v>
      </c>
      <c r="B1" s="416"/>
      <c r="C1" s="419">
        <v>2025</v>
      </c>
      <c r="D1" s="419"/>
      <c r="E1" s="419"/>
      <c r="F1" s="419"/>
      <c r="G1" s="419"/>
      <c r="H1" s="419"/>
      <c r="I1" s="419"/>
      <c r="J1" s="419"/>
      <c r="K1" s="419"/>
      <c r="L1" s="419"/>
      <c r="M1" s="419"/>
      <c r="N1" s="419"/>
      <c r="O1" s="419"/>
    </row>
    <row r="2" spans="1:15" ht="15.75" thickBot="1">
      <c r="A2" s="417"/>
      <c r="B2" s="418"/>
      <c r="C2" s="134">
        <f>C4/C5</f>
        <v>0.82763115021179534</v>
      </c>
      <c r="D2" s="134">
        <f t="shared" ref="D2:K2" si="0">D4/D5</f>
        <v>0.83924646781789636</v>
      </c>
      <c r="E2" s="134">
        <f t="shared" si="0"/>
        <v>0.82133006435795275</v>
      </c>
      <c r="F2" s="134">
        <f t="shared" si="0"/>
        <v>0.845707656612529</v>
      </c>
      <c r="G2" s="134">
        <f t="shared" si="0"/>
        <v>0.80821513002364065</v>
      </c>
      <c r="H2" s="134">
        <f t="shared" si="0"/>
        <v>0.82384341637010672</v>
      </c>
      <c r="I2" s="134">
        <f t="shared" si="0"/>
        <v>0.84368008948545858</v>
      </c>
      <c r="J2" s="134">
        <f t="shared" si="0"/>
        <v>0.83897605284888521</v>
      </c>
      <c r="K2" s="134">
        <f t="shared" si="0"/>
        <v>0.84113890367216604</v>
      </c>
      <c r="L2" s="134"/>
      <c r="M2" s="134"/>
      <c r="N2" s="134"/>
      <c r="O2" s="135">
        <f>O4/O5</f>
        <v>0.8161266013564431</v>
      </c>
    </row>
    <row r="3" spans="1:15" ht="15.75" thickBot="1">
      <c r="A3" s="420" t="s">
        <v>2</v>
      </c>
      <c r="B3" s="420"/>
      <c r="C3" s="176" t="s">
        <v>3</v>
      </c>
      <c r="D3" s="176" t="s">
        <v>4</v>
      </c>
      <c r="E3" s="176" t="s">
        <v>5</v>
      </c>
      <c r="F3" s="176" t="s">
        <v>6</v>
      </c>
      <c r="G3" s="176" t="s">
        <v>7</v>
      </c>
      <c r="H3" s="176" t="s">
        <v>8</v>
      </c>
      <c r="I3" s="176" t="s">
        <v>9</v>
      </c>
      <c r="J3" s="176" t="s">
        <v>10</v>
      </c>
      <c r="K3" s="176" t="s">
        <v>11</v>
      </c>
      <c r="L3" s="176" t="s">
        <v>12</v>
      </c>
      <c r="M3" s="176" t="s">
        <v>13</v>
      </c>
      <c r="N3" s="176" t="s">
        <v>14</v>
      </c>
      <c r="O3" s="63" t="s">
        <v>125</v>
      </c>
    </row>
    <row r="4" spans="1:15" ht="15.75" thickBot="1">
      <c r="A4" s="384" t="s">
        <v>221</v>
      </c>
      <c r="B4" s="384"/>
      <c r="C4" s="59">
        <f>C8+C10+C12+C14</f>
        <v>2540</v>
      </c>
      <c r="D4" s="59">
        <f t="shared" ref="D4:N4" si="1">D8+D10+D12+D14</f>
        <v>2673</v>
      </c>
      <c r="E4" s="59">
        <f t="shared" si="1"/>
        <v>2680</v>
      </c>
      <c r="F4" s="59">
        <f t="shared" si="1"/>
        <v>2916</v>
      </c>
      <c r="G4" s="59">
        <f t="shared" si="1"/>
        <v>2735</v>
      </c>
      <c r="H4" s="59">
        <f t="shared" si="1"/>
        <v>2778</v>
      </c>
      <c r="I4" s="59">
        <f t="shared" si="1"/>
        <v>3017</v>
      </c>
      <c r="J4" s="59">
        <f t="shared" si="1"/>
        <v>3048</v>
      </c>
      <c r="K4" s="59">
        <f t="shared" si="1"/>
        <v>3161</v>
      </c>
      <c r="L4" s="59">
        <f t="shared" si="1"/>
        <v>0</v>
      </c>
      <c r="M4" s="59">
        <f t="shared" si="1"/>
        <v>0</v>
      </c>
      <c r="N4" s="59">
        <f t="shared" si="1"/>
        <v>0</v>
      </c>
      <c r="O4" s="136">
        <f>MEDIAN(C4:N4)</f>
        <v>2707.5</v>
      </c>
    </row>
    <row r="5" spans="1:15" ht="15.75" thickBot="1">
      <c r="A5" s="384" t="s">
        <v>222</v>
      </c>
      <c r="B5" s="384"/>
      <c r="C5" s="59">
        <f>C9+C11+C13+C15</f>
        <v>3069</v>
      </c>
      <c r="D5" s="59">
        <f t="shared" ref="D5:N5" si="2">D9+D11+D13+D15</f>
        <v>3185</v>
      </c>
      <c r="E5" s="59">
        <f t="shared" si="2"/>
        <v>3263</v>
      </c>
      <c r="F5" s="59">
        <f t="shared" si="2"/>
        <v>3448</v>
      </c>
      <c r="G5" s="59">
        <f t="shared" si="2"/>
        <v>3384</v>
      </c>
      <c r="H5" s="59">
        <f t="shared" si="2"/>
        <v>3372</v>
      </c>
      <c r="I5" s="59">
        <f t="shared" si="2"/>
        <v>3576</v>
      </c>
      <c r="J5" s="59">
        <f t="shared" si="2"/>
        <v>3633</v>
      </c>
      <c r="K5" s="59">
        <f t="shared" si="2"/>
        <v>3758</v>
      </c>
      <c r="L5" s="59">
        <f t="shared" si="2"/>
        <v>0</v>
      </c>
      <c r="M5" s="59">
        <f t="shared" si="2"/>
        <v>0</v>
      </c>
      <c r="N5" s="59">
        <f t="shared" si="2"/>
        <v>0</v>
      </c>
      <c r="O5" s="136">
        <f>MEDIAN(C5:N5)</f>
        <v>3317.5</v>
      </c>
    </row>
    <row r="6" spans="1:15" ht="15.75" thickBot="1">
      <c r="A6" s="421" t="s">
        <v>61</v>
      </c>
      <c r="B6" s="421"/>
      <c r="C6" s="434">
        <v>0.95</v>
      </c>
      <c r="D6" s="429"/>
      <c r="E6" s="429"/>
      <c r="F6" s="429"/>
      <c r="G6" s="429"/>
      <c r="H6" s="429"/>
      <c r="I6" s="429"/>
      <c r="J6" s="429"/>
      <c r="K6" s="429"/>
      <c r="L6" s="429"/>
      <c r="M6" s="429"/>
      <c r="N6" s="429"/>
      <c r="O6" s="429"/>
    </row>
    <row r="7" spans="1:15">
      <c r="A7" s="206" t="s">
        <v>223</v>
      </c>
      <c r="B7" s="416"/>
      <c r="C7" s="131" t="s">
        <v>3</v>
      </c>
      <c r="D7" s="131" t="s">
        <v>4</v>
      </c>
      <c r="E7" s="131" t="s">
        <v>5</v>
      </c>
      <c r="F7" s="131" t="s">
        <v>6</v>
      </c>
      <c r="G7" s="131" t="s">
        <v>7</v>
      </c>
      <c r="H7" s="131" t="s">
        <v>8</v>
      </c>
      <c r="I7" s="131" t="s">
        <v>9</v>
      </c>
      <c r="J7" s="131" t="s">
        <v>10</v>
      </c>
      <c r="K7" s="131" t="s">
        <v>11</v>
      </c>
      <c r="L7" s="131" t="s">
        <v>12</v>
      </c>
      <c r="M7" s="131" t="s">
        <v>13</v>
      </c>
      <c r="N7" s="131" t="s">
        <v>14</v>
      </c>
      <c r="O7" s="133" t="s">
        <v>125</v>
      </c>
    </row>
    <row r="8" spans="1:15">
      <c r="A8" s="433">
        <v>1</v>
      </c>
      <c r="B8" s="132" t="s">
        <v>224</v>
      </c>
      <c r="C8" s="177">
        <f>C9-'% Incidencia de dor aguda'!C4</f>
        <v>1397</v>
      </c>
      <c r="D8" s="177">
        <f>D9-'% Incidencia de dor aguda'!D4</f>
        <v>1468</v>
      </c>
      <c r="E8" s="177">
        <f>E9-'% Incidencia de dor aguda'!E4</f>
        <v>1471</v>
      </c>
      <c r="F8" s="177">
        <f>F9-'% Incidencia de dor aguda'!F4</f>
        <v>1566</v>
      </c>
      <c r="G8" s="177">
        <f>G9-'% Incidencia de dor aguda'!G4</f>
        <v>1511</v>
      </c>
      <c r="H8" s="177">
        <f>H9-'% Incidencia de dor aguda'!H4</f>
        <v>1479</v>
      </c>
      <c r="I8" s="177">
        <f>I9-'% Incidencia de dor aguda'!I4</f>
        <v>1717</v>
      </c>
      <c r="J8" s="177">
        <f>J9-'% Incidencia de dor aguda'!J4</f>
        <v>1662</v>
      </c>
      <c r="K8" s="177">
        <f>K9-'% Incidencia de dor aguda'!K4</f>
        <v>1756</v>
      </c>
      <c r="L8" s="177">
        <f>L9-'% Incidencia de dor aguda'!L4</f>
        <v>0</v>
      </c>
      <c r="M8" s="177">
        <f>M9-'% Incidencia de dor aguda'!M4</f>
        <v>0</v>
      </c>
      <c r="N8" s="177">
        <f>N9-'% Incidencia de dor aguda'!N4</f>
        <v>0</v>
      </c>
      <c r="O8" s="177">
        <f>O9-'% Incidencia de dor aguda'!O4</f>
        <v>1474</v>
      </c>
    </row>
    <row r="9" spans="1:15">
      <c r="A9" s="433"/>
      <c r="B9" s="132" t="s">
        <v>225</v>
      </c>
      <c r="C9" s="177">
        <f>'% Incidencia de dor aguda'!C5</f>
        <v>1472</v>
      </c>
      <c r="D9" s="177">
        <f>'% Incidencia de dor aguda'!D5</f>
        <v>1535</v>
      </c>
      <c r="E9" s="177">
        <f>'% Incidencia de dor aguda'!E5</f>
        <v>1533</v>
      </c>
      <c r="F9" s="177">
        <f>'% Incidencia de dor aguda'!F5</f>
        <v>1622</v>
      </c>
      <c r="G9" s="177">
        <f>'% Incidencia de dor aguda'!G5</f>
        <v>1607</v>
      </c>
      <c r="H9" s="177">
        <f>'% Incidencia de dor aguda'!H5</f>
        <v>1530</v>
      </c>
      <c r="I9" s="177">
        <f>'% Incidencia de dor aguda'!I5</f>
        <v>1781</v>
      </c>
      <c r="J9" s="177">
        <f>'% Incidencia de dor aguda'!J5</f>
        <v>1720</v>
      </c>
      <c r="K9" s="177">
        <f>'% Incidencia de dor aguda'!K5</f>
        <v>1823</v>
      </c>
      <c r="L9" s="177">
        <f>'% Incidencia de dor aguda'!L5</f>
        <v>0</v>
      </c>
      <c r="M9" s="177">
        <f>'% Incidencia de dor aguda'!M5</f>
        <v>0</v>
      </c>
      <c r="N9" s="177">
        <f>'% Incidencia de dor aguda'!N5</f>
        <v>0</v>
      </c>
      <c r="O9" s="177">
        <f>'% Incidencia de dor aguda'!O5</f>
        <v>1534</v>
      </c>
    </row>
    <row r="10" spans="1:15">
      <c r="A10" s="433">
        <v>2</v>
      </c>
      <c r="B10" s="132" t="s">
        <v>226</v>
      </c>
      <c r="C10" s="177">
        <f>'% Abreviação do jejum P.'!C4</f>
        <v>191</v>
      </c>
      <c r="D10" s="177">
        <f>'% Abreviação do jejum P.'!D4</f>
        <v>208</v>
      </c>
      <c r="E10" s="177">
        <f>'% Abreviação do jejum P.'!E4</f>
        <v>221</v>
      </c>
      <c r="F10" s="177">
        <f>'% Abreviação do jejum P.'!F4</f>
        <v>295</v>
      </c>
      <c r="G10" s="177">
        <f>'% Abreviação do jejum P.'!G4</f>
        <v>309</v>
      </c>
      <c r="H10" s="177">
        <f>'% Abreviação do jejum P.'!H4</f>
        <v>334</v>
      </c>
      <c r="I10" s="177">
        <f>'% Abreviação do jejum P.'!I4</f>
        <v>293</v>
      </c>
      <c r="J10" s="177">
        <f>'% Abreviação do jejum P.'!J4</f>
        <v>366</v>
      </c>
      <c r="K10" s="177">
        <f>'% Abreviação do jejum P.'!K4</f>
        <v>360</v>
      </c>
      <c r="L10" s="177">
        <f>'% Abreviação do jejum P.'!L4</f>
        <v>0</v>
      </c>
      <c r="M10" s="177">
        <f>'% Abreviação do jejum P.'!M4</f>
        <v>0</v>
      </c>
      <c r="N10" s="177">
        <f>'% Abreviação do jejum P.'!N4</f>
        <v>0</v>
      </c>
      <c r="O10" s="177">
        <f>'% Abreviação do jejum P.'!O4</f>
        <v>257</v>
      </c>
    </row>
    <row r="11" spans="1:15">
      <c r="A11" s="433"/>
      <c r="B11" s="132" t="s">
        <v>227</v>
      </c>
      <c r="C11" s="177">
        <f>'% Abreviação do jejum P.'!C5</f>
        <v>600</v>
      </c>
      <c r="D11" s="177">
        <f>'% Abreviação do jejum P.'!D5</f>
        <v>599</v>
      </c>
      <c r="E11" s="177">
        <f>'% Abreviação do jejum P.'!E5</f>
        <v>689</v>
      </c>
      <c r="F11" s="177">
        <f>'% Abreviação do jejum P.'!F5</f>
        <v>728</v>
      </c>
      <c r="G11" s="177">
        <f>'% Abreviação do jejum P.'!G5</f>
        <v>804</v>
      </c>
      <c r="H11" s="177">
        <f>'% Abreviação do jejum P.'!H5</f>
        <v>827</v>
      </c>
      <c r="I11" s="177">
        <f>'% Abreviação do jejum P.'!I5</f>
        <v>728</v>
      </c>
      <c r="J11" s="177">
        <f>'% Abreviação do jejum P.'!J5</f>
        <v>842</v>
      </c>
      <c r="K11" s="177">
        <f>'% Abreviação do jejum P.'!K5</f>
        <v>851</v>
      </c>
      <c r="L11" s="177">
        <f>'% Abreviação do jejum P.'!L5</f>
        <v>0</v>
      </c>
      <c r="M11" s="177">
        <f>'% Abreviação do jejum P.'!M5</f>
        <v>0</v>
      </c>
      <c r="N11" s="177">
        <f>'% Abreviação do jejum P.'!N5</f>
        <v>0</v>
      </c>
      <c r="O11" s="177">
        <f>'% Abreviação do jejum P.'!O5</f>
        <v>708.5</v>
      </c>
    </row>
    <row r="12" spans="1:15">
      <c r="A12" s="433">
        <v>3</v>
      </c>
      <c r="B12" s="132" t="s">
        <v>228</v>
      </c>
      <c r="C12" s="177">
        <f>C13-'% Incidência de NVPO'!C4</f>
        <v>823</v>
      </c>
      <c r="D12" s="177">
        <f>D13-'% Incidência de NVPO'!D4</f>
        <v>871</v>
      </c>
      <c r="E12" s="177">
        <f>E13-'% Incidência de NVPO'!E4</f>
        <v>784</v>
      </c>
      <c r="F12" s="177">
        <f>F13-'% Incidência de NVPO'!F4</f>
        <v>907</v>
      </c>
      <c r="G12" s="177">
        <f>G13-'% Incidência de NVPO'!G4</f>
        <v>831</v>
      </c>
      <c r="H12" s="177">
        <f>H13-'% Incidência de NVPO'!H4</f>
        <v>868</v>
      </c>
      <c r="I12" s="177">
        <f>I13-'% Incidência de NVPO'!I4</f>
        <v>920</v>
      </c>
      <c r="J12" s="177">
        <f>J13-'% Incidência de NVPO'!J4</f>
        <v>903</v>
      </c>
      <c r="K12" s="177">
        <f>K13-'% Incidência de NVPO'!K4</f>
        <v>954</v>
      </c>
      <c r="L12" s="177">
        <f>L13-'% Incidência de NVPO'!L4</f>
        <v>0</v>
      </c>
      <c r="M12" s="177">
        <f>M13-'% Incidência de NVPO'!M4</f>
        <v>0</v>
      </c>
      <c r="N12" s="177">
        <f>N13-'% Incidência de NVPO'!N4</f>
        <v>0</v>
      </c>
      <c r="O12" s="177">
        <f>O13-'% Incidência de NVPO'!O4</f>
        <v>855.5</v>
      </c>
    </row>
    <row r="13" spans="1:15">
      <c r="A13" s="433"/>
      <c r="B13" s="132" t="s">
        <v>229</v>
      </c>
      <c r="C13" s="177">
        <f>'% Incidência de NVPO'!C5</f>
        <v>868</v>
      </c>
      <c r="D13" s="177">
        <f>'% Incidência de NVPO'!D5</f>
        <v>925</v>
      </c>
      <c r="E13" s="177">
        <f>'% Incidência de NVPO'!E5</f>
        <v>837</v>
      </c>
      <c r="F13" s="177">
        <f>'% Incidência de NVPO'!F5</f>
        <v>950</v>
      </c>
      <c r="G13" s="177">
        <f>'% Incidência de NVPO'!G5</f>
        <v>888</v>
      </c>
      <c r="H13" s="177">
        <f>'% Incidência de NVPO'!H5</f>
        <v>918</v>
      </c>
      <c r="I13" s="177">
        <f>'% Incidência de NVPO'!I5</f>
        <v>977</v>
      </c>
      <c r="J13" s="177">
        <f>'% Incidência de NVPO'!J5</f>
        <v>953</v>
      </c>
      <c r="K13" s="177">
        <f>'% Incidência de NVPO'!K5</f>
        <v>993</v>
      </c>
      <c r="L13" s="177">
        <f>'% Incidência de NVPO'!L5</f>
        <v>0</v>
      </c>
      <c r="M13" s="177">
        <f>'% Incidência de NVPO'!M5</f>
        <v>0</v>
      </c>
      <c r="N13" s="177">
        <f>'% Incidência de NVPO'!N5</f>
        <v>0</v>
      </c>
      <c r="O13" s="177">
        <f>'% Incidência de NVPO'!O5</f>
        <v>903</v>
      </c>
    </row>
    <row r="14" spans="1:15">
      <c r="A14" s="433">
        <v>4</v>
      </c>
      <c r="B14" s="132" t="s">
        <v>230</v>
      </c>
      <c r="C14" s="177">
        <f>'% Efet. Prevenção Cefaléia PPD'!C4</f>
        <v>129</v>
      </c>
      <c r="D14" s="177">
        <f>'% Efet. Prevenção Cefaléia PPD'!D4</f>
        <v>126</v>
      </c>
      <c r="E14" s="177">
        <f>'% Efet. Prevenção Cefaléia PPD'!E4</f>
        <v>204</v>
      </c>
      <c r="F14" s="177">
        <f>'% Efet. Prevenção Cefaléia PPD'!F4</f>
        <v>148</v>
      </c>
      <c r="G14" s="177">
        <f>'% Efet. Prevenção Cefaléia PPD'!G4</f>
        <v>84</v>
      </c>
      <c r="H14" s="177">
        <f>'% Efet. Prevenção Cefaléia PPD'!H4</f>
        <v>97</v>
      </c>
      <c r="I14" s="177">
        <f>'% Efet. Prevenção Cefaléia PPD'!I4</f>
        <v>87</v>
      </c>
      <c r="J14" s="177">
        <f>'% Efet. Prevenção Cefaléia PPD'!J4</f>
        <v>117</v>
      </c>
      <c r="K14" s="177">
        <f>'% Efet. Prevenção Cefaléia PPD'!K4</f>
        <v>91</v>
      </c>
      <c r="L14" s="177">
        <f>'% Efet. Prevenção Cefaléia PPD'!L4</f>
        <v>0</v>
      </c>
      <c r="M14" s="177">
        <f>'% Efet. Prevenção Cefaléia PPD'!M4</f>
        <v>0</v>
      </c>
      <c r="N14" s="177">
        <f>'% Efet. Prevenção Cefaléia PPD'!N4</f>
        <v>0</v>
      </c>
      <c r="O14" s="177">
        <f>'% Efet. Prevenção Cefaléia PPD'!O4</f>
        <v>94</v>
      </c>
    </row>
    <row r="15" spans="1:15">
      <c r="A15" s="433"/>
      <c r="B15" s="132" t="s">
        <v>231</v>
      </c>
      <c r="C15" s="177">
        <f>'% Efet. Prevenção Cefaléia PPD'!C5</f>
        <v>129</v>
      </c>
      <c r="D15" s="177">
        <f>'% Efet. Prevenção Cefaléia PPD'!D5</f>
        <v>126</v>
      </c>
      <c r="E15" s="177">
        <f>'% Efet. Prevenção Cefaléia PPD'!E5</f>
        <v>204</v>
      </c>
      <c r="F15" s="177">
        <f>'% Efet. Prevenção Cefaléia PPD'!F5</f>
        <v>148</v>
      </c>
      <c r="G15" s="177">
        <f>'% Efet. Prevenção Cefaléia PPD'!G5</f>
        <v>85</v>
      </c>
      <c r="H15" s="177">
        <f>'% Efet. Prevenção Cefaléia PPD'!H5</f>
        <v>97</v>
      </c>
      <c r="I15" s="177">
        <f>'% Efet. Prevenção Cefaléia PPD'!I5</f>
        <v>90</v>
      </c>
      <c r="J15" s="177">
        <f>'% Efet. Prevenção Cefaléia PPD'!J5</f>
        <v>118</v>
      </c>
      <c r="K15" s="177">
        <f>'% Efet. Prevenção Cefaléia PPD'!K5</f>
        <v>91</v>
      </c>
      <c r="L15" s="177">
        <f>'% Efet. Prevenção Cefaléia PPD'!L5</f>
        <v>0</v>
      </c>
      <c r="M15" s="177">
        <f>'% Efet. Prevenção Cefaléia PPD'!M5</f>
        <v>0</v>
      </c>
      <c r="N15" s="177">
        <f>'% Efet. Prevenção Cefaléia PPD'!N5</f>
        <v>0</v>
      </c>
      <c r="O15" s="177">
        <f>'% Efet. Prevenção Cefaléia PPD'!O5</f>
        <v>94</v>
      </c>
    </row>
  </sheetData>
  <mergeCells count="12">
    <mergeCell ref="A6:B6"/>
    <mergeCell ref="C6:O6"/>
    <mergeCell ref="A1:B2"/>
    <mergeCell ref="C1:O1"/>
    <mergeCell ref="A3:B3"/>
    <mergeCell ref="A4:B4"/>
    <mergeCell ref="A5:B5"/>
    <mergeCell ref="A8:A9"/>
    <mergeCell ref="A10:A11"/>
    <mergeCell ref="A12:A13"/>
    <mergeCell ref="A14:A15"/>
    <mergeCell ref="A7:B7"/>
  </mergeCells>
  <pageMargins left="0.511811024" right="0.511811024" top="0.78740157499999996" bottom="0.78740157499999996" header="0.31496062000000002" footer="0.31496062000000002"/>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318D8-631B-4E4B-AA7F-667D30C95F4E}">
  <dimension ref="A1"/>
  <sheetViews>
    <sheetView topLeftCell="B1" workbookViewId="0">
      <selection activeCell="B1" sqref="B1"/>
    </sheetView>
  </sheetViews>
  <sheetFormatPr defaultRowHeight="15"/>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BAD7-7FB7-4AD5-808F-ABC36C9E5DD3}">
  <sheetPr>
    <pageSetUpPr fitToPage="1"/>
  </sheetPr>
  <dimension ref="A1:R29"/>
  <sheetViews>
    <sheetView zoomScale="70" zoomScaleNormal="70" workbookViewId="0">
      <selection sqref="A1:XFD1048576"/>
    </sheetView>
  </sheetViews>
  <sheetFormatPr defaultRowHeight="13.5"/>
  <cols>
    <col min="1" max="3" width="31.85546875" style="24" customWidth="1"/>
    <col min="4" max="4" width="106.42578125" style="24" customWidth="1"/>
    <col min="5" max="5" width="34.5703125" style="106" customWidth="1"/>
    <col min="6" max="17" width="14.7109375" style="24" customWidth="1"/>
    <col min="18" max="18" width="19.140625" style="24" customWidth="1"/>
    <col min="19" max="16384" width="9.140625" style="24"/>
  </cols>
  <sheetData>
    <row r="1" spans="1:18" s="144" customFormat="1">
      <c r="A1" s="142"/>
      <c r="B1" s="129" t="s">
        <v>232</v>
      </c>
      <c r="C1" s="142" t="s">
        <v>233</v>
      </c>
      <c r="D1" s="141" t="s">
        <v>234</v>
      </c>
      <c r="E1" s="140" t="s">
        <v>235</v>
      </c>
      <c r="F1" s="64" t="s">
        <v>3</v>
      </c>
      <c r="G1" s="64" t="s">
        <v>4</v>
      </c>
      <c r="H1" s="64" t="s">
        <v>5</v>
      </c>
      <c r="I1" s="64" t="s">
        <v>6</v>
      </c>
      <c r="J1" s="64" t="s">
        <v>7</v>
      </c>
      <c r="K1" s="64" t="s">
        <v>8</v>
      </c>
      <c r="L1" s="64" t="s">
        <v>9</v>
      </c>
      <c r="M1" s="64" t="s">
        <v>10</v>
      </c>
      <c r="N1" s="64" t="s">
        <v>11</v>
      </c>
      <c r="O1" s="64" t="s">
        <v>12</v>
      </c>
      <c r="P1" s="64" t="s">
        <v>13</v>
      </c>
      <c r="Q1" s="64" t="s">
        <v>14</v>
      </c>
      <c r="R1" s="65" t="s">
        <v>125</v>
      </c>
    </row>
    <row r="2" spans="1:18" s="19" customFormat="1">
      <c r="A2" s="90">
        <v>1</v>
      </c>
      <c r="B2" s="90" t="s">
        <v>236</v>
      </c>
      <c r="C2" s="90" t="s">
        <v>237</v>
      </c>
      <c r="D2" s="90" t="str">
        <f>'% Consulta pré anestésica'!A2</f>
        <v>TAXA DE PROCEDIMENTOS ELETIVOS COM CONSULTA PRÉ-ANESTÉSICA AMBULATORIAL</v>
      </c>
      <c r="E2" s="124" t="s">
        <v>238</v>
      </c>
      <c r="F2" s="94">
        <f>'% Consulta pré anestésica'!C2</f>
        <v>0.79517190929041692</v>
      </c>
      <c r="G2" s="94">
        <f>'% Consulta pré anestésica'!D2</f>
        <v>0.79330007127583746</v>
      </c>
      <c r="H2" s="94">
        <f>'% Consulta pré anestésica'!E2</f>
        <v>0.75690235690235685</v>
      </c>
      <c r="I2" s="94">
        <f>'% Consulta pré anestésica'!F2</f>
        <v>0.84649122807017541</v>
      </c>
      <c r="J2" s="94">
        <f>'% Consulta pré anestésica'!G2</f>
        <v>0.85654512851165576</v>
      </c>
      <c r="K2" s="97">
        <f>'% Consulta pré anestésica'!H2</f>
        <v>0.96018276762402088</v>
      </c>
      <c r="L2" s="97">
        <f>'% Consulta pré anestésica'!I2</f>
        <v>0.95281995661605201</v>
      </c>
      <c r="M2" s="97">
        <f>'% Consulta pré anestésica'!J2</f>
        <v>0.97834757834757835</v>
      </c>
      <c r="N2" s="97">
        <f>'% Consulta pré anestésica'!K2</f>
        <v>0.97022198159177042</v>
      </c>
      <c r="O2" s="89"/>
      <c r="P2" s="89"/>
      <c r="Q2" s="89"/>
      <c r="R2" s="103">
        <f>'% Consulta pré anestésica'!O2</f>
        <v>0.85654512851165576</v>
      </c>
    </row>
    <row r="3" spans="1:18" s="19" customFormat="1" thickBot="1">
      <c r="A3" s="90">
        <v>2</v>
      </c>
      <c r="B3" s="90" t="s">
        <v>239</v>
      </c>
      <c r="C3" s="90" t="s">
        <v>237</v>
      </c>
      <c r="D3" s="90" t="str">
        <f>'% Incidencia de dor aguda'!A1</f>
        <v>INCIDÊNCIA DE DOR AGUDA NO PERÍODO INTRAOPERATÓRIO ATÉ A ALTA ANESTÉSICA</v>
      </c>
      <c r="E3" s="124" t="s">
        <v>240</v>
      </c>
      <c r="F3" s="102">
        <f>'% Incidencia de dor aguda'!C2</f>
        <v>5.0951086956521736E-2</v>
      </c>
      <c r="G3" s="102">
        <f>'% Incidencia de dor aguda'!D2</f>
        <v>4.3648208469055372E-2</v>
      </c>
      <c r="H3" s="102">
        <f>'% Incidencia de dor aguda'!E2</f>
        <v>4.044357469015003E-2</v>
      </c>
      <c r="I3" s="102">
        <f>'% Incidencia de dor aguda'!F2</f>
        <v>3.4525277435265102E-2</v>
      </c>
      <c r="J3" s="102">
        <f>'% Incidencia de dor aguda'!G2</f>
        <v>5.9738643434971997E-2</v>
      </c>
      <c r="K3" s="102">
        <f>'% Incidencia de dor aguda'!H2</f>
        <v>3.3333333333333333E-2</v>
      </c>
      <c r="L3" s="102">
        <f>'% Incidencia de dor aguda'!I2</f>
        <v>3.5934868051656375E-2</v>
      </c>
      <c r="M3" s="102">
        <f>'% Incidencia de dor aguda'!J2</f>
        <v>3.3720930232558143E-2</v>
      </c>
      <c r="N3" s="102">
        <f>'% Incidencia de dor aguda'!K2</f>
        <v>3.6752605595172794E-2</v>
      </c>
      <c r="O3" s="90"/>
      <c r="P3" s="90"/>
      <c r="Q3" s="90"/>
      <c r="R3" s="120">
        <f>'% Incidencia de dor aguda'!O2</f>
        <v>3.6752605595172794E-2</v>
      </c>
    </row>
    <row r="4" spans="1:18" s="19" customFormat="1" thickBot="1">
      <c r="A4" s="90">
        <v>3</v>
      </c>
      <c r="B4" s="90" t="s">
        <v>236</v>
      </c>
      <c r="C4" s="90" t="s">
        <v>237</v>
      </c>
      <c r="D4" s="90" t="str">
        <f>'% Abreviação do jejum P.'!A1</f>
        <v>INCIDÊNCIA DE ABREVIAÇÃO DO JEJUM PROLONGADO</v>
      </c>
      <c r="E4" s="124" t="s">
        <v>241</v>
      </c>
      <c r="F4" s="94">
        <f>'% Abreviação do jejum P.'!C2</f>
        <v>0.32</v>
      </c>
      <c r="G4" s="94">
        <f>'% Abreviação do jejum P.'!D2</f>
        <v>0.35</v>
      </c>
      <c r="H4" s="94">
        <f>'% Abreviação do jejum P.'!E2</f>
        <v>0.32</v>
      </c>
      <c r="I4" s="94">
        <f>'% Abreviação do jejum P.'!F2</f>
        <v>0.41</v>
      </c>
      <c r="J4" s="94">
        <f>'% Abreviação do jejum P.'!G2</f>
        <v>0.38</v>
      </c>
      <c r="K4" s="94">
        <f>'% Abreviação do jejum P.'!H2</f>
        <v>0.4</v>
      </c>
      <c r="L4" s="94">
        <f>'% Abreviação do jejum P.'!I2</f>
        <v>0.4</v>
      </c>
      <c r="M4" s="94">
        <f>'% Abreviação do jejum P.'!J2</f>
        <v>0.43</v>
      </c>
      <c r="N4" s="94">
        <f>'% Abreviação do jejum P.'!K2</f>
        <v>0.42</v>
      </c>
      <c r="O4" s="89"/>
      <c r="P4" s="89"/>
      <c r="Q4" s="89"/>
      <c r="R4" s="103">
        <f>'% Abreviação do jejum P.'!O2</f>
        <v>0.4</v>
      </c>
    </row>
    <row r="5" spans="1:18" s="98" customFormat="1" thickBot="1">
      <c r="A5" s="91">
        <v>4</v>
      </c>
      <c r="B5" s="91" t="s">
        <v>239</v>
      </c>
      <c r="C5" s="91" t="s">
        <v>242</v>
      </c>
      <c r="D5" s="91" t="str">
        <f>'Incidencia de PCR até a Alta'!A1</f>
        <v>INCIDÊNCIA DE PARADA CARDIORRESPIRATÓRIA NO PERÍODO DA INDUÇÃO ATÉ A ALTA ANESTÉSICA</v>
      </c>
      <c r="E5" s="125" t="s">
        <v>119</v>
      </c>
      <c r="F5" s="95">
        <f>'Incidencia de PCR até a Alta'!C2</f>
        <v>0</v>
      </c>
      <c r="G5" s="95">
        <f>'Incidencia de PCR até a Alta'!D2</f>
        <v>0</v>
      </c>
      <c r="H5" s="95">
        <f>'Incidencia de PCR até a Alta'!E2</f>
        <v>0</v>
      </c>
      <c r="I5" s="95">
        <f>'Incidencia de PCR até a Alta'!F2</f>
        <v>0</v>
      </c>
      <c r="J5" s="95">
        <f>'Incidencia de PCR até a Alta'!G2</f>
        <v>0</v>
      </c>
      <c r="K5" s="95">
        <f>'Incidencia de PCR até a Alta'!H2</f>
        <v>0</v>
      </c>
      <c r="L5" s="96">
        <f>'Incidencia de PCR até a Alta'!I2</f>
        <v>0</v>
      </c>
      <c r="M5" s="96">
        <f>'Incidencia de PCR até a Alta'!J2</f>
        <v>5.8139534883720929E-4</v>
      </c>
      <c r="N5" s="96">
        <f>'Incidencia de PCR até a Alta'!K2</f>
        <v>5.4854635216675812E-4</v>
      </c>
      <c r="O5" s="91"/>
      <c r="P5" s="91"/>
      <c r="Q5" s="91"/>
      <c r="R5" s="93">
        <f>'Incidencia de PCR até a Alta'!O2</f>
        <v>0</v>
      </c>
    </row>
    <row r="6" spans="1:18" s="19" customFormat="1" thickBot="1">
      <c r="A6" s="90">
        <v>5</v>
      </c>
      <c r="B6" s="90" t="s">
        <v>236</v>
      </c>
      <c r="C6" s="90" t="s">
        <v>237</v>
      </c>
      <c r="D6" s="90" t="str">
        <f>'% Mudança da Tecnica Anestésica'!A1</f>
        <v>TAXA DE MUDANÇA DE TÉCNICA ANESTÉSICA</v>
      </c>
      <c r="E6" s="124" t="s">
        <v>62</v>
      </c>
      <c r="F6" s="97">
        <f>'% Mudança da Tecnica Anestésica'!C2</f>
        <v>0</v>
      </c>
      <c r="G6" s="97">
        <f>'% Mudança da Tecnica Anestésica'!D2</f>
        <v>0</v>
      </c>
      <c r="H6" s="97">
        <f>'% Mudança da Tecnica Anestésica'!E2</f>
        <v>0</v>
      </c>
      <c r="I6" s="97">
        <f>'% Mudança da Tecnica Anestésica'!F2</f>
        <v>0</v>
      </c>
      <c r="J6" s="97">
        <f>'% Mudança da Tecnica Anestésica'!G2</f>
        <v>0</v>
      </c>
      <c r="K6" s="97">
        <f>'% Mudança da Tecnica Anestésica'!H2</f>
        <v>0</v>
      </c>
      <c r="L6" s="97">
        <f>'% Mudança da Tecnica Anestésica'!I2</f>
        <v>0</v>
      </c>
      <c r="M6" s="97">
        <f>'% Mudança da Tecnica Anestésica'!J2</f>
        <v>0</v>
      </c>
      <c r="N6" s="97">
        <f>'% Mudança da Tecnica Anestésica'!K2</f>
        <v>1E-3</v>
      </c>
      <c r="O6" s="89"/>
      <c r="P6" s="89"/>
      <c r="Q6" s="89"/>
      <c r="R6" s="92">
        <f>'% Mudança da Tecnica Anestésica'!O2</f>
        <v>0</v>
      </c>
    </row>
    <row r="7" spans="1:18" s="19" customFormat="1" ht="25.5" thickBot="1">
      <c r="A7" s="90">
        <v>6</v>
      </c>
      <c r="B7" s="90" t="s">
        <v>239</v>
      </c>
      <c r="C7" s="91" t="s">
        <v>242</v>
      </c>
      <c r="D7" s="99" t="str">
        <f>'% Incidência Enc. UTI'!A2</f>
        <v>INCIDÊNCIA DE PACIENTES ENCAMINHADOS PARA UTI SEM PLANEJAMENTO PRÉVIO COM INDICAÇÃO DECORRENTE DE EVENTOS ANESTÉSICOS</v>
      </c>
      <c r="E7" s="126" t="s">
        <v>135</v>
      </c>
      <c r="F7" s="117">
        <f>'% Incidência Enc. UTI'!C2</f>
        <v>7.1428571428571429E-4</v>
      </c>
      <c r="G7" s="117">
        <f>'% Incidência Enc. UTI'!D2</f>
        <v>0</v>
      </c>
      <c r="H7" s="117">
        <f>'% Incidência Enc. UTI'!E2</f>
        <v>6.6622251832111927E-4</v>
      </c>
      <c r="I7" s="117">
        <f>'% Incidência Enc. UTI'!F2</f>
        <v>6.2460961898813238E-4</v>
      </c>
      <c r="J7" s="117">
        <f>'% Incidência Enc. UTI'!G2</f>
        <v>2.3837902264600714E-3</v>
      </c>
      <c r="K7" s="117">
        <f>'% Incidência Enc. UTI'!H2</f>
        <v>1.2903225806451613E-3</v>
      </c>
      <c r="L7" s="117">
        <f>'% Incidência Enc. UTI'!I2</f>
        <v>2.1401819154628142E-3</v>
      </c>
      <c r="M7" s="117">
        <f>'% Incidência Enc. UTI'!J2</f>
        <v>1.1267605633802818E-3</v>
      </c>
      <c r="N7" s="117">
        <f>'% Incidência Enc. UTI'!K2</f>
        <v>1.0723860589812334E-3</v>
      </c>
      <c r="O7" s="90"/>
      <c r="P7" s="90"/>
      <c r="Q7" s="90"/>
      <c r="R7" s="120">
        <f>'% Incidência Enc. UTI'!O2</f>
        <v>1.0723860589812334E-3</v>
      </c>
    </row>
    <row r="8" spans="1:18" s="19" customFormat="1" thickBot="1">
      <c r="A8" s="90">
        <v>7</v>
      </c>
      <c r="B8" s="90" t="s">
        <v>236</v>
      </c>
      <c r="C8" s="90" t="s">
        <v>237</v>
      </c>
      <c r="D8" s="90" t="str">
        <f>'% Efet. no controle glicemico'!A2</f>
        <v>EFETIVIDADE DO PROTOCOLO DE CONTROLE GLICÊMICO NO PERÍODO PERIOPERATÓRIO</v>
      </c>
      <c r="E8" s="124" t="s">
        <v>243</v>
      </c>
      <c r="F8" s="94">
        <f>'% Efet. no controle glicemico'!C2</f>
        <v>0.74</v>
      </c>
      <c r="G8" s="94">
        <f>'% Efet. no controle glicemico'!D2</f>
        <v>0.76</v>
      </c>
      <c r="H8" s="94">
        <f>'% Efet. no controle glicemico'!E2</f>
        <v>0.78</v>
      </c>
      <c r="I8" s="94">
        <f>'% Efet. no controle glicemico'!F2</f>
        <v>0.72</v>
      </c>
      <c r="J8" s="94">
        <f>'% Efet. no controle glicemico'!G2</f>
        <v>0.8</v>
      </c>
      <c r="K8" s="94">
        <f>'% Efet. no controle glicemico'!H2</f>
        <v>0.77</v>
      </c>
      <c r="L8" s="117">
        <f>'% Efet. no controle glicemico'!I2</f>
        <v>0.91</v>
      </c>
      <c r="M8" s="94">
        <f>'% Efet. no controle glicemico'!J2</f>
        <v>0.83878241262683206</v>
      </c>
      <c r="N8" s="94">
        <f>'% Efet. no controle glicemico'!K2</f>
        <v>0.82442748091603058</v>
      </c>
      <c r="O8" s="89"/>
      <c r="P8" s="89"/>
      <c r="Q8" s="89"/>
      <c r="R8" s="92">
        <f>'% Efet. no controle glicemico'!O2</f>
        <v>0.78</v>
      </c>
    </row>
    <row r="9" spans="1:18" s="19" customFormat="1" thickBot="1">
      <c r="A9" s="90">
        <v>8</v>
      </c>
      <c r="B9" s="90" t="s">
        <v>239</v>
      </c>
      <c r="C9" s="90" t="s">
        <v>242</v>
      </c>
      <c r="D9" s="90" t="str">
        <f>'% Saídas sem eventos anestésico'!A2</f>
        <v>SAÍDAS SEM EVENTOS RELACIONADOS AO ATO ANESTÉSICO</v>
      </c>
      <c r="E9" s="124" t="s">
        <v>147</v>
      </c>
      <c r="F9" s="94">
        <f>'% Saídas sem eventos anestésico'!C2</f>
        <v>0.86</v>
      </c>
      <c r="G9" s="94">
        <f>'% Saídas sem eventos anestésico'!D2</f>
        <v>0.86</v>
      </c>
      <c r="H9" s="94">
        <f>'% Saídas sem eventos anestésico'!E2</f>
        <v>0.87</v>
      </c>
      <c r="I9" s="94">
        <f>'% Saídas sem eventos anestésico'!F2</f>
        <v>0.89</v>
      </c>
      <c r="J9" s="94">
        <f>'% Saídas sem eventos anestésico'!G2</f>
        <v>0.84</v>
      </c>
      <c r="K9" s="94">
        <f>'% Saídas sem eventos anestésico'!H2</f>
        <v>0.88</v>
      </c>
      <c r="L9" s="94">
        <f>'% Saídas sem eventos anestésico'!I2</f>
        <v>0.88</v>
      </c>
      <c r="M9" s="94">
        <f>'% Saídas sem eventos anestésico'!J2</f>
        <v>0.88</v>
      </c>
      <c r="N9" s="97">
        <f>'% Saídas sem eventos anestésico'!K2</f>
        <v>0.9</v>
      </c>
      <c r="O9" s="89"/>
      <c r="P9" s="89"/>
      <c r="Q9" s="89"/>
      <c r="R9" s="103">
        <f>'% Saídas sem eventos anestésico'!O2</f>
        <v>0.88</v>
      </c>
    </row>
    <row r="10" spans="1:18" s="19" customFormat="1" ht="23.25" thickBot="1">
      <c r="A10" s="90">
        <v>9</v>
      </c>
      <c r="B10" s="90" t="s">
        <v>239</v>
      </c>
      <c r="C10" s="90" t="s">
        <v>242</v>
      </c>
      <c r="D10" s="90" t="str">
        <f>'% Mortalidade Associada a anest'!A2</f>
        <v>MORTALIDADE ASSOCIADA A ANESTESIA EM 48 HORAS E ATÉ 30 DIAS</v>
      </c>
      <c r="E10" s="126" t="s">
        <v>244</v>
      </c>
      <c r="F10" s="97">
        <f>'% Mortalidade Associada a anest'!C2</f>
        <v>0</v>
      </c>
      <c r="G10" s="97">
        <f>'% Mortalidade Associada a anest'!D2</f>
        <v>0</v>
      </c>
      <c r="H10" s="97">
        <f>'% Mortalidade Associada a anest'!E2</f>
        <v>0</v>
      </c>
      <c r="I10" s="97">
        <f>'% Mortalidade Associada a anest'!F2</f>
        <v>0</v>
      </c>
      <c r="J10" s="97">
        <f>'% Mortalidade Associada a anest'!G2</f>
        <v>0</v>
      </c>
      <c r="K10" s="97">
        <f>'% Mortalidade Associada a anest'!H2</f>
        <v>0</v>
      </c>
      <c r="L10" s="97">
        <f>'% Mortalidade Associada a anest'!I2</f>
        <v>1E-3</v>
      </c>
      <c r="M10" s="97">
        <f>'% Mortalidade Associada a anest'!J2</f>
        <v>0</v>
      </c>
      <c r="N10" s="97">
        <f>'% Mortalidade Associada a anest'!K2</f>
        <v>0</v>
      </c>
      <c r="O10" s="89"/>
      <c r="P10" s="89"/>
      <c r="Q10" s="89"/>
      <c r="R10" s="92">
        <f>'% Mortalidade Associada a anest'!O2</f>
        <v>0</v>
      </c>
    </row>
    <row r="11" spans="1:18" s="19" customFormat="1" thickBot="1">
      <c r="A11" s="90">
        <v>10</v>
      </c>
      <c r="B11" s="90" t="s">
        <v>236</v>
      </c>
      <c r="C11" s="90" t="s">
        <v>237</v>
      </c>
      <c r="D11" s="90" t="str">
        <f>'% Estratificação de risco'!A2</f>
        <v>TAXA DE ESTRATIFICAÇÃO DE RISCO ANESTÉSICO DO SERVIÇO</v>
      </c>
      <c r="E11" s="127" t="s">
        <v>245</v>
      </c>
      <c r="F11" s="97">
        <f>'% Estratificação de risco'!C2</f>
        <v>1</v>
      </c>
      <c r="G11" s="97">
        <f>'% Estratificação de risco'!D2</f>
        <v>1</v>
      </c>
      <c r="H11" s="97">
        <f>'% Estratificação de risco'!E2</f>
        <v>1</v>
      </c>
      <c r="I11" s="97">
        <f>'% Estratificação de risco'!F2</f>
        <v>1</v>
      </c>
      <c r="J11" s="97">
        <f>'% Estratificação de risco'!G2</f>
        <v>1</v>
      </c>
      <c r="K11" s="97">
        <f>'% Estratificação de risco'!H2</f>
        <v>1</v>
      </c>
      <c r="L11" s="97">
        <f>'% Estratificação de risco'!I2</f>
        <v>1</v>
      </c>
      <c r="M11" s="97">
        <f>'% Estratificação de risco'!J2</f>
        <v>1</v>
      </c>
      <c r="N11" s="97">
        <f>'% Estratificação de risco'!K2</f>
        <v>1</v>
      </c>
      <c r="O11" s="89"/>
      <c r="P11" s="89"/>
      <c r="Q11" s="89"/>
      <c r="R11" s="92">
        <f>'% Estratificação de risco'!O2</f>
        <v>1</v>
      </c>
    </row>
    <row r="12" spans="1:18" s="19" customFormat="1" thickBot="1">
      <c r="A12" s="90">
        <v>11</v>
      </c>
      <c r="B12" s="90" t="s">
        <v>239</v>
      </c>
      <c r="C12" s="90" t="s">
        <v>242</v>
      </c>
      <c r="D12" s="90" t="str">
        <f>'%Incidencia de VAD não prevista'!A2</f>
        <v>INCIDÊNCIA DE VIA ÁREA DIFÍCIL NÃO IDENTIFICADA NO PERÍODO INTRAOPERATÓRIO</v>
      </c>
      <c r="E12" s="124" t="s">
        <v>246</v>
      </c>
      <c r="F12" s="102">
        <f>'%Incidencia de VAD não prevista'!C2</f>
        <v>0</v>
      </c>
      <c r="G12" s="102">
        <f>'%Incidencia de VAD não prevista'!D2</f>
        <v>0</v>
      </c>
      <c r="H12" s="102">
        <f>'%Incidencia de VAD não prevista'!E2</f>
        <v>0</v>
      </c>
      <c r="I12" s="102">
        <f>'%Incidencia de VAD não prevista'!F2</f>
        <v>0</v>
      </c>
      <c r="J12" s="105">
        <f>'%Incidencia de VAD não prevista'!G2</f>
        <v>2.1231422505307855E-3</v>
      </c>
      <c r="K12" s="105">
        <f>'%Incidencia de VAD não prevista'!H2</f>
        <v>0</v>
      </c>
      <c r="L12" s="102">
        <f>'%Incidencia de VAD não prevista'!I2</f>
        <v>0</v>
      </c>
      <c r="M12" s="105">
        <f>'%Incidencia de VAD não prevista'!J2</f>
        <v>5.6390977443609019E-3</v>
      </c>
      <c r="N12" s="105">
        <f>'%Incidencia de VAD não prevista'!K2</f>
        <v>5.5350553505535052E-3</v>
      </c>
      <c r="O12" s="122"/>
      <c r="P12" s="122"/>
      <c r="Q12" s="122"/>
      <c r="R12" s="120">
        <f>'%Incidencia de VAD não prevista'!O2</f>
        <v>0</v>
      </c>
    </row>
    <row r="13" spans="1:18" s="19" customFormat="1" ht="23.25" thickBot="1">
      <c r="A13" s="90">
        <v>12</v>
      </c>
      <c r="B13" s="90" t="s">
        <v>239</v>
      </c>
      <c r="C13" s="90" t="s">
        <v>237</v>
      </c>
      <c r="D13" s="90" t="str">
        <f>'% Incidência de NVPO'!A2</f>
        <v>TAXA DE INCIDÊNCIA DE NÁUSEA E VÔMITO NO PERÍODO INTRAOPERATÓRIO ATÉ A ALTA ANESTÉSICA</v>
      </c>
      <c r="E13" s="126" t="s">
        <v>247</v>
      </c>
      <c r="F13" s="102">
        <f>'% Incidência de NVPO'!C2</f>
        <v>5.1843317972350228E-2</v>
      </c>
      <c r="G13" s="102">
        <f>'% Incidência de NVPO'!D2</f>
        <v>5.8378378378378379E-2</v>
      </c>
      <c r="H13" s="102">
        <f>'% Incidência de NVPO'!E2</f>
        <v>6.3321385902031069E-2</v>
      </c>
      <c r="I13" s="102">
        <f>'% Incidência de NVPO'!F2</f>
        <v>4.5263157894736845E-2</v>
      </c>
      <c r="J13" s="102">
        <f>'% Incidência de NVPO'!G2</f>
        <v>6.4189189189189186E-2</v>
      </c>
      <c r="K13" s="102">
        <f>'% Incidência de NVPO'!H2</f>
        <v>5.4466230936819175E-2</v>
      </c>
      <c r="L13" s="102">
        <f>'% Incidência de NVPO'!I2</f>
        <v>5.8341862845445243E-2</v>
      </c>
      <c r="M13" s="102">
        <f>'% Incidência de NVPO'!J2</f>
        <v>5.2465897166841552E-2</v>
      </c>
      <c r="N13" s="102">
        <f>'% Incidência de NVPO'!K2</f>
        <v>3.9274924471299093E-2</v>
      </c>
      <c r="O13" s="90"/>
      <c r="P13" s="90"/>
      <c r="Q13" s="90"/>
      <c r="R13" s="123">
        <f>'% Incidência de NVPO'!O2</f>
        <v>5.4466230936819175E-2</v>
      </c>
    </row>
    <row r="14" spans="1:18" s="19" customFormat="1" thickBot="1">
      <c r="A14" s="90">
        <v>13</v>
      </c>
      <c r="B14" s="90" t="s">
        <v>236</v>
      </c>
      <c r="C14" s="90" t="s">
        <v>242</v>
      </c>
      <c r="D14" s="90" t="str">
        <f>'%Efetiv. no manejo de Int. Anes'!A1</f>
        <v>EFETIVIDADE DO PROTOCOLO DE MANEJO DE INTOXICAÇÃO POR ANESTÉSICOS LOCAIS</v>
      </c>
      <c r="E14" s="124" t="s">
        <v>243</v>
      </c>
      <c r="F14" s="97">
        <f>'%Efetiv. no manejo de Int. Anes'!C2</f>
        <v>1</v>
      </c>
      <c r="G14" s="97">
        <f>'%Efetiv. no manejo de Int. Anes'!D2</f>
        <v>1</v>
      </c>
      <c r="H14" s="97">
        <f>'%Efetiv. no manejo de Int. Anes'!E2</f>
        <v>1</v>
      </c>
      <c r="I14" s="97">
        <f>'%Efetiv. no manejo de Int. Anes'!F2</f>
        <v>1</v>
      </c>
      <c r="J14" s="97">
        <f>'%Efetiv. no manejo de Int. Anes'!G2</f>
        <v>1</v>
      </c>
      <c r="K14" s="97">
        <f>'%Efetiv. no manejo de Int. Anes'!H2</f>
        <v>1</v>
      </c>
      <c r="L14" s="97">
        <f>'%Efetiv. no manejo de Int. Anes'!I2</f>
        <v>1</v>
      </c>
      <c r="M14" s="97">
        <f>'%Efetiv. no manejo de Int. Anes'!J2</f>
        <v>1</v>
      </c>
      <c r="N14" s="97">
        <f>'%Efetiv. no manejo de Int. Anes'!K2</f>
        <v>1</v>
      </c>
      <c r="O14" s="89"/>
      <c r="P14" s="89"/>
      <c r="Q14" s="89"/>
      <c r="R14" s="92">
        <f>'%Efetiv. no manejo de Int. Anes'!O2</f>
        <v>1</v>
      </c>
    </row>
    <row r="15" spans="1:18" s="19" customFormat="1">
      <c r="A15" s="90">
        <v>13</v>
      </c>
      <c r="B15" s="90" t="s">
        <v>236</v>
      </c>
      <c r="C15" s="90" t="s">
        <v>242</v>
      </c>
      <c r="D15" s="90" t="s">
        <v>248</v>
      </c>
      <c r="E15" s="124" t="s">
        <v>238</v>
      </c>
      <c r="F15" s="97">
        <v>0.99</v>
      </c>
      <c r="G15" s="97">
        <v>0.99</v>
      </c>
      <c r="H15" s="97">
        <v>0.98</v>
      </c>
      <c r="I15" s="103">
        <v>0.91</v>
      </c>
      <c r="J15" s="103">
        <v>0.87</v>
      </c>
      <c r="K15" s="103">
        <v>0.85</v>
      </c>
      <c r="L15" s="103">
        <v>0.94</v>
      </c>
      <c r="M15" s="97">
        <v>0.96</v>
      </c>
      <c r="N15" s="97">
        <v>0.97</v>
      </c>
      <c r="O15" s="89"/>
      <c r="P15" s="89"/>
      <c r="Q15" s="89"/>
      <c r="R15" s="92"/>
    </row>
    <row r="16" spans="1:18" s="19" customFormat="1">
      <c r="A16" s="90"/>
      <c r="B16" s="90"/>
      <c r="C16" s="90"/>
      <c r="D16" s="90" t="s">
        <v>249</v>
      </c>
      <c r="E16" s="124" t="s">
        <v>238</v>
      </c>
      <c r="F16" s="97"/>
      <c r="G16" s="97"/>
      <c r="H16" s="97"/>
      <c r="I16" s="103"/>
      <c r="J16" s="103"/>
      <c r="K16" s="97">
        <v>1</v>
      </c>
      <c r="L16" s="97">
        <v>1</v>
      </c>
      <c r="M16" s="97">
        <v>1</v>
      </c>
      <c r="N16" s="97">
        <v>1</v>
      </c>
      <c r="O16" s="89"/>
      <c r="P16" s="89"/>
      <c r="Q16" s="89"/>
      <c r="R16" s="92"/>
    </row>
    <row r="17" spans="1:18" s="19" customFormat="1">
      <c r="A17" s="90"/>
      <c r="B17" s="90"/>
      <c r="C17" s="90"/>
      <c r="D17" s="90" t="s">
        <v>250</v>
      </c>
      <c r="E17" s="124" t="s">
        <v>238</v>
      </c>
      <c r="F17" s="97"/>
      <c r="G17" s="97"/>
      <c r="H17" s="97"/>
      <c r="I17" s="103"/>
      <c r="J17" s="103"/>
      <c r="K17" s="97">
        <v>1</v>
      </c>
      <c r="L17" s="97">
        <v>1</v>
      </c>
      <c r="M17" s="97">
        <v>1</v>
      </c>
      <c r="N17" s="97">
        <v>1</v>
      </c>
      <c r="O17" s="89"/>
      <c r="P17" s="89"/>
      <c r="Q17" s="89"/>
      <c r="R17" s="92"/>
    </row>
    <row r="18" spans="1:18" s="19" customFormat="1" thickBot="1">
      <c r="A18" s="90">
        <v>13</v>
      </c>
      <c r="B18" s="90" t="s">
        <v>236</v>
      </c>
      <c r="C18" s="90" t="s">
        <v>242</v>
      </c>
      <c r="D18" s="90" t="str">
        <f>'% Conformidade do ATB'!A1</f>
        <v>TAXA DE CONFORMIDADE DA PROFILAXIA ANTIMICROBIANA CIRÚRGICA DURANTE O PROCEDIMENTO</v>
      </c>
      <c r="E18" s="124" t="s">
        <v>238</v>
      </c>
      <c r="F18" s="103">
        <f>MEDIAN(F15:F17)</f>
        <v>0.99</v>
      </c>
      <c r="G18" s="103">
        <f t="shared" ref="G18:N18" si="0">MEDIAN(G15:G17)</f>
        <v>0.99</v>
      </c>
      <c r="H18" s="103">
        <f t="shared" si="0"/>
        <v>0.98</v>
      </c>
      <c r="I18" s="103">
        <f t="shared" si="0"/>
        <v>0.91</v>
      </c>
      <c r="J18" s="103">
        <f t="shared" si="0"/>
        <v>0.87</v>
      </c>
      <c r="K18" s="103">
        <v>0.95</v>
      </c>
      <c r="L18" s="103">
        <v>0.98</v>
      </c>
      <c r="M18" s="103">
        <f t="shared" si="0"/>
        <v>1</v>
      </c>
      <c r="N18" s="103">
        <f t="shared" si="0"/>
        <v>1</v>
      </c>
      <c r="O18" s="89"/>
      <c r="P18" s="89"/>
      <c r="Q18" s="89"/>
      <c r="R18" s="103">
        <f>'% Conformidade do ATB'!O2</f>
        <v>0.89</v>
      </c>
    </row>
    <row r="19" spans="1:18" s="19" customFormat="1" ht="32.25" thickBot="1">
      <c r="A19" s="90">
        <v>13</v>
      </c>
      <c r="B19" s="90" t="s">
        <v>236</v>
      </c>
      <c r="C19" s="90" t="s">
        <v>237</v>
      </c>
      <c r="D19" s="90" t="str">
        <f>'% Efet. Prevenção Cefaléia PPD'!A1</f>
        <v>EFETIVIDADE DO PROTOCOLO DE PREVENÇÃO DE CAFALÉIA PÓS PUNÇÃO DURAL</v>
      </c>
      <c r="E19" s="128" t="s">
        <v>251</v>
      </c>
      <c r="F19" s="97">
        <f>'% Efet. Prevenção Cefaléia PPD'!C2</f>
        <v>1</v>
      </c>
      <c r="G19" s="97">
        <f>'% Efet. Prevenção Cefaléia PPD'!D2</f>
        <v>1</v>
      </c>
      <c r="H19" s="97">
        <f>'% Efet. Prevenção Cefaléia PPD'!E2</f>
        <v>1</v>
      </c>
      <c r="I19" s="97">
        <f>'% Efet. Prevenção Cefaléia PPD'!F2</f>
        <v>1</v>
      </c>
      <c r="J19" s="97">
        <f>'% Efet. Prevenção Cefaléia PPD'!G2</f>
        <v>0.99</v>
      </c>
      <c r="K19" s="97">
        <f>'% Efet. Prevenção Cefaléia PPD'!H2</f>
        <v>1</v>
      </c>
      <c r="L19" s="97">
        <f>'% Efet. Prevenção Cefaléia PPD'!I2</f>
        <v>0.97</v>
      </c>
      <c r="M19" s="97">
        <f>'% Efet. Prevenção Cefaléia PPD'!J2</f>
        <v>0.99</v>
      </c>
      <c r="N19" s="97">
        <f>'% Efet. Prevenção Cefaléia PPD'!K2</f>
        <v>1</v>
      </c>
      <c r="O19" s="89"/>
      <c r="P19" s="89"/>
      <c r="Q19" s="89"/>
      <c r="R19" s="92">
        <f>'% Efet. Prevenção Cefaléia PPD'!O2</f>
        <v>1</v>
      </c>
    </row>
    <row r="20" spans="1:18" s="19" customFormat="1" ht="23.25" thickBot="1">
      <c r="A20" s="90">
        <v>13</v>
      </c>
      <c r="B20" s="90" t="s">
        <v>239</v>
      </c>
      <c r="C20" s="90" t="s">
        <v>237</v>
      </c>
      <c r="D20" s="99" t="str">
        <f>'% Incidência de Hipotermia'!A1</f>
        <v>TAXA DE INCIDÊNCIA DE HIPOTERMIA NÃO INTENCIONAL NO PERÍODO INTRAOPERATÓRIO ATÉ A ALTA ANESTÉSICA</v>
      </c>
      <c r="E20" s="126" t="s">
        <v>252</v>
      </c>
      <c r="F20" s="105">
        <f>'% Incidência de Hipotermia'!C2</f>
        <v>4.076086956521739E-3</v>
      </c>
      <c r="G20" s="105">
        <f>'% Incidência de Hipotermia'!D2</f>
        <v>4.560260586319218E-3</v>
      </c>
      <c r="H20" s="105">
        <f>'% Incidência de Hipotermia'!E2</f>
        <v>1.9569471624266144E-3</v>
      </c>
      <c r="I20" s="105">
        <f>'% Incidência de Hipotermia'!F2</f>
        <v>2.4660912453760789E-3</v>
      </c>
      <c r="J20" s="105">
        <f>'% Incidência de Hipotermia'!G2</f>
        <v>2.4891101431238332E-3</v>
      </c>
      <c r="K20" s="105">
        <f>'% Incidência de Hipotermia'!H2</f>
        <v>3.2679738562091504E-3</v>
      </c>
      <c r="L20" s="105">
        <f>'% Incidência de Hipotermia'!I2</f>
        <v>2.2459292532285235E-3</v>
      </c>
      <c r="M20" s="105">
        <f>'% Incidência de Hipotermia'!J2</f>
        <v>3.4883720930232558E-3</v>
      </c>
      <c r="N20" s="105">
        <f>'% Incidência de Hipotermia'!K2</f>
        <v>4.936917169500823E-3</v>
      </c>
      <c r="O20" s="90"/>
      <c r="P20" s="90"/>
      <c r="Q20" s="90"/>
      <c r="R20" s="120">
        <f>'% Incidência de Hipotermia'!O2</f>
        <v>3.2679738562091504E-3</v>
      </c>
    </row>
    <row r="21" spans="1:18" ht="23.25" thickBot="1">
      <c r="A21" s="90">
        <v>13</v>
      </c>
      <c r="B21" s="90" t="s">
        <v>239</v>
      </c>
      <c r="C21" s="90" t="s">
        <v>242</v>
      </c>
      <c r="D21" s="130" t="s">
        <v>188</v>
      </c>
      <c r="E21" s="126" t="s">
        <v>253</v>
      </c>
      <c r="F21" s="103">
        <f>'% adesão aos prot.segurança'!C2</f>
        <v>0.91331178372024679</v>
      </c>
      <c r="G21" s="103">
        <f>'% adesão aos prot.segurança'!D2</f>
        <v>0.91440559440559444</v>
      </c>
      <c r="H21" s="103">
        <f>'% adesão aos prot.segurança'!E2</f>
        <v>0.92696320702910484</v>
      </c>
      <c r="I21" s="103">
        <f>'% adesão aos prot.segurança'!F2</f>
        <v>0.90945573112616007</v>
      </c>
      <c r="J21" s="103">
        <f>'% adesão aos prot.segurança'!G2</f>
        <v>0.92497482376636453</v>
      </c>
      <c r="K21" s="103">
        <f>'% adesão aos prot.segurança'!H2</f>
        <v>0.91330698287220025</v>
      </c>
      <c r="L21" s="143">
        <f>'% adesão aos prot.segurança'!I2</f>
        <v>0.94478527607361962</v>
      </c>
      <c r="M21" s="143">
        <f>'% adesão aos prot.segurança'!J2</f>
        <v>0.94006934125804853</v>
      </c>
      <c r="N21" s="143">
        <f>'% adesão aos prot.segurança'!K2</f>
        <v>0.9355146883209936</v>
      </c>
      <c r="O21" s="90"/>
      <c r="P21" s="90"/>
      <c r="Q21" s="90"/>
      <c r="R21" s="103">
        <f>MEDIAN(F21:Q21)</f>
        <v>0.92497482376636453</v>
      </c>
    </row>
    <row r="22" spans="1:18" ht="23.25" thickBot="1">
      <c r="A22" s="90">
        <v>13</v>
      </c>
      <c r="B22" s="90" t="s">
        <v>236</v>
      </c>
      <c r="C22" s="90" t="s">
        <v>237</v>
      </c>
      <c r="D22" s="99" t="s">
        <v>254</v>
      </c>
      <c r="E22" s="126" t="s">
        <v>253</v>
      </c>
      <c r="F22" s="103">
        <f>'% adesão aos prot clinico Assit'!C2</f>
        <v>0.82763115021179534</v>
      </c>
      <c r="G22" s="103">
        <f>'% adesão aos prot clinico Assit'!D2</f>
        <v>0.83924646781789636</v>
      </c>
      <c r="H22" s="103">
        <f>'% adesão aos prot clinico Assit'!E2</f>
        <v>0.82133006435795275</v>
      </c>
      <c r="I22" s="103">
        <f>'% adesão aos prot clinico Assit'!F2</f>
        <v>0.845707656612529</v>
      </c>
      <c r="J22" s="103">
        <f>'% adesão aos prot clinico Assit'!G2</f>
        <v>0.80821513002364065</v>
      </c>
      <c r="K22" s="103">
        <f>'% adesão aos prot clinico Assit'!H2</f>
        <v>0.82384341637010672</v>
      </c>
      <c r="L22" s="103">
        <f>'% adesão aos prot clinico Assit'!I2</f>
        <v>0.84368008948545858</v>
      </c>
      <c r="M22" s="103">
        <f>'% adesão aos prot clinico Assit'!J2</f>
        <v>0.83897605284888521</v>
      </c>
      <c r="N22" s="103">
        <f>'% adesão aos prot clinico Assit'!K2</f>
        <v>0.84113890367216604</v>
      </c>
      <c r="O22" s="90"/>
      <c r="P22" s="90"/>
      <c r="Q22" s="90"/>
      <c r="R22" s="103">
        <f>MEDIAN(F22:Q22)</f>
        <v>0.83897605284888521</v>
      </c>
    </row>
    <row r="23" spans="1:18" thickBot="1">
      <c r="A23" s="90">
        <v>13</v>
      </c>
      <c r="B23" s="90" t="s">
        <v>255</v>
      </c>
      <c r="C23" s="90" t="s">
        <v>256</v>
      </c>
      <c r="D23" s="99" t="s">
        <v>257</v>
      </c>
      <c r="E23" s="126" t="s">
        <v>258</v>
      </c>
      <c r="O23" s="90"/>
      <c r="P23" s="90"/>
      <c r="Q23" s="90"/>
      <c r="R23" s="103"/>
    </row>
    <row r="24" spans="1:18" thickBot="1">
      <c r="A24" s="90">
        <v>13</v>
      </c>
      <c r="B24" s="90" t="s">
        <v>239</v>
      </c>
      <c r="C24" s="90" t="s">
        <v>259</v>
      </c>
      <c r="D24" s="99" t="s">
        <v>260</v>
      </c>
      <c r="E24" s="126" t="s">
        <v>261</v>
      </c>
      <c r="F24" s="137">
        <v>9.81</v>
      </c>
      <c r="G24" s="137">
        <v>10</v>
      </c>
      <c r="H24" s="137">
        <v>9.6199999999999992</v>
      </c>
      <c r="I24" s="137">
        <v>9.5399999999999991</v>
      </c>
      <c r="J24" s="137">
        <v>9.75</v>
      </c>
      <c r="K24" s="137">
        <v>9.7899999999999991</v>
      </c>
      <c r="L24" s="137">
        <v>9.67</v>
      </c>
      <c r="M24" s="137">
        <v>9.65</v>
      </c>
      <c r="N24" s="90"/>
      <c r="O24" s="90"/>
      <c r="P24" s="90"/>
      <c r="Q24" s="90"/>
      <c r="R24" s="137">
        <f t="shared" ref="R24:R25" si="1">MEDIAN(F24:Q24)</f>
        <v>9.7100000000000009</v>
      </c>
    </row>
    <row r="25" spans="1:18" ht="23.25" thickBot="1">
      <c r="A25" s="90">
        <v>13</v>
      </c>
      <c r="B25" s="90" t="s">
        <v>239</v>
      </c>
      <c r="C25" s="90" t="s">
        <v>262</v>
      </c>
      <c r="D25" s="99" t="s">
        <v>263</v>
      </c>
      <c r="E25" s="126" t="s">
        <v>264</v>
      </c>
      <c r="F25" s="137">
        <v>4.87</v>
      </c>
      <c r="G25" s="137">
        <v>4.79</v>
      </c>
      <c r="H25" s="137">
        <v>4.8099999999999996</v>
      </c>
      <c r="I25" s="137">
        <v>4.76</v>
      </c>
      <c r="J25" s="137">
        <v>4.9400000000000004</v>
      </c>
      <c r="K25" s="137">
        <v>4.92</v>
      </c>
      <c r="L25" s="137">
        <v>4.91</v>
      </c>
      <c r="M25" s="137">
        <v>4.8899999999999997</v>
      </c>
      <c r="N25" s="90"/>
      <c r="O25" s="90"/>
      <c r="P25" s="90"/>
      <c r="Q25" s="90"/>
      <c r="R25" s="137">
        <f t="shared" si="1"/>
        <v>4.88</v>
      </c>
    </row>
    <row r="26" spans="1:18" thickBot="1">
      <c r="A26" s="90">
        <v>13</v>
      </c>
      <c r="B26" s="90" t="s">
        <v>239</v>
      </c>
      <c r="C26" s="90" t="s">
        <v>265</v>
      </c>
      <c r="D26" s="99" t="s">
        <v>266</v>
      </c>
      <c r="E26" s="126" t="s">
        <v>267</v>
      </c>
    </row>
    <row r="27" spans="1:18" thickBot="1">
      <c r="A27" s="90">
        <v>13</v>
      </c>
      <c r="B27" s="90" t="s">
        <v>255</v>
      </c>
      <c r="C27" s="90" t="s">
        <v>268</v>
      </c>
      <c r="D27" s="99" t="s">
        <v>269</v>
      </c>
      <c r="E27" s="126" t="s">
        <v>270</v>
      </c>
    </row>
    <row r="28" spans="1:18" thickBot="1">
      <c r="A28" s="90">
        <v>13</v>
      </c>
      <c r="B28" s="90" t="s">
        <v>255</v>
      </c>
      <c r="C28" s="90" t="s">
        <v>271</v>
      </c>
      <c r="D28" s="99" t="s">
        <v>272</v>
      </c>
      <c r="E28" s="126" t="s">
        <v>273</v>
      </c>
    </row>
    <row r="29" spans="1:18" thickBot="1">
      <c r="A29" s="90">
        <v>13</v>
      </c>
      <c r="B29" s="90" t="s">
        <v>255</v>
      </c>
      <c r="C29" s="90" t="s">
        <v>274</v>
      </c>
      <c r="D29" s="99" t="s">
        <v>275</v>
      </c>
      <c r="E29" s="126" t="s">
        <v>276</v>
      </c>
    </row>
  </sheetData>
  <autoFilter ref="A1:R29" xr:uid="{46FABAD7-7FB7-4AD5-808F-ABC36C9E5DD3}"/>
  <phoneticPr fontId="15" type="noConversion"/>
  <pageMargins left="0.511811024" right="0.511811024" top="1.1499999999999999" bottom="0.78740157499999996" header="0.31496062000000002" footer="0.31496062000000002"/>
  <pageSetup paperSize="9" scale="39" fitToHeight="0" orientation="landscape"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3AB12-AC23-4126-8AFF-0F6845DCD752}">
  <dimension ref="A1:Q25"/>
  <sheetViews>
    <sheetView workbookViewId="0"/>
  </sheetViews>
  <sheetFormatPr defaultRowHeight="15"/>
  <cols>
    <col min="1" max="1" width="2.85546875" bestFit="1" customWidth="1"/>
    <col min="2" max="2" width="19.5703125" customWidth="1"/>
    <col min="3" max="3" width="25.7109375" bestFit="1" customWidth="1"/>
    <col min="4" max="4" width="89.7109375" customWidth="1"/>
    <col min="5" max="5" width="40.85546875" customWidth="1"/>
  </cols>
  <sheetData>
    <row r="1" spans="1:17" ht="25.5">
      <c r="A1" s="142"/>
      <c r="B1" s="129" t="s">
        <v>232</v>
      </c>
      <c r="C1" s="142" t="s">
        <v>233</v>
      </c>
      <c r="D1" s="141" t="s">
        <v>234</v>
      </c>
      <c r="E1" s="140" t="s">
        <v>235</v>
      </c>
      <c r="F1" s="64" t="s">
        <v>3</v>
      </c>
      <c r="G1" s="64" t="s">
        <v>4</v>
      </c>
      <c r="H1" s="64" t="s">
        <v>5</v>
      </c>
      <c r="I1" s="64" t="s">
        <v>6</v>
      </c>
      <c r="J1" s="64" t="s">
        <v>7</v>
      </c>
      <c r="K1" s="64" t="s">
        <v>8</v>
      </c>
      <c r="L1" s="64" t="s">
        <v>9</v>
      </c>
      <c r="M1" s="64" t="s">
        <v>10</v>
      </c>
      <c r="N1" s="64" t="s">
        <v>11</v>
      </c>
      <c r="O1" s="65" t="s">
        <v>125</v>
      </c>
      <c r="P1" s="144"/>
      <c r="Q1" s="144"/>
    </row>
    <row r="2" spans="1:17">
      <c r="A2" s="90">
        <v>1</v>
      </c>
      <c r="B2" s="90" t="s">
        <v>236</v>
      </c>
      <c r="C2" s="90" t="s">
        <v>237</v>
      </c>
      <c r="D2" s="90" t="str">
        <f>'% Consulta pré anestésica'!A2</f>
        <v>TAXA DE PROCEDIMENTOS ELETIVOS COM CONSULTA PRÉ-ANESTÉSICA AMBULATORIAL</v>
      </c>
      <c r="E2" s="124" t="s">
        <v>238</v>
      </c>
      <c r="F2" s="94">
        <f>'% Consulta pré anestésica'!C2</f>
        <v>0.79517190929041692</v>
      </c>
      <c r="G2" s="94">
        <f>'% Consulta pré anestésica'!D2</f>
        <v>0.79330007127583746</v>
      </c>
      <c r="H2" s="94">
        <f>'% Consulta pré anestésica'!E2</f>
        <v>0.75690235690235685</v>
      </c>
      <c r="I2" s="94">
        <f>'% Consulta pré anestésica'!F2</f>
        <v>0.84649122807017541</v>
      </c>
      <c r="J2" s="94">
        <f>'% Consulta pré anestésica'!G2</f>
        <v>0.85654512851165576</v>
      </c>
      <c r="K2" s="97">
        <f>'% Consulta pré anestésica'!H2</f>
        <v>0.96018276762402088</v>
      </c>
      <c r="L2" s="97">
        <f>'% Consulta pré anestésica'!I2</f>
        <v>0.95281995661605201</v>
      </c>
      <c r="M2" s="97">
        <f>'% Consulta pré anestésica'!J2</f>
        <v>0.97834757834757835</v>
      </c>
      <c r="N2" s="97">
        <f>'% Consulta pré anestésica'!K2</f>
        <v>0.97022198159177042</v>
      </c>
      <c r="O2" s="103">
        <f>'% Consulta pré anestésica'!O2</f>
        <v>0.85654512851165576</v>
      </c>
      <c r="P2" s="19"/>
      <c r="Q2" s="19"/>
    </row>
    <row r="3" spans="1:17">
      <c r="A3" s="90">
        <v>2</v>
      </c>
      <c r="B3" s="90" t="s">
        <v>239</v>
      </c>
      <c r="C3" s="90" t="s">
        <v>237</v>
      </c>
      <c r="D3" s="90" t="str">
        <f>'% Incidencia de dor aguda'!A1</f>
        <v>INCIDÊNCIA DE DOR AGUDA NO PERÍODO INTRAOPERATÓRIO ATÉ A ALTA ANESTÉSICA</v>
      </c>
      <c r="E3" s="124" t="s">
        <v>240</v>
      </c>
      <c r="F3" s="102">
        <f>'% Incidencia de dor aguda'!C2</f>
        <v>5.0951086956521736E-2</v>
      </c>
      <c r="G3" s="102">
        <f>'% Incidencia de dor aguda'!D2</f>
        <v>4.3648208469055372E-2</v>
      </c>
      <c r="H3" s="102">
        <f>'% Incidencia de dor aguda'!E2</f>
        <v>4.044357469015003E-2</v>
      </c>
      <c r="I3" s="102">
        <f>'% Incidencia de dor aguda'!F2</f>
        <v>3.4525277435265102E-2</v>
      </c>
      <c r="J3" s="102">
        <f>'% Incidencia de dor aguda'!G2</f>
        <v>5.9738643434971997E-2</v>
      </c>
      <c r="K3" s="102">
        <f>'% Incidencia de dor aguda'!H2</f>
        <v>3.3333333333333333E-2</v>
      </c>
      <c r="L3" s="102">
        <f>'% Incidencia de dor aguda'!I2</f>
        <v>3.5934868051656375E-2</v>
      </c>
      <c r="M3" s="102">
        <f>'% Incidencia de dor aguda'!J2</f>
        <v>3.3720930232558143E-2</v>
      </c>
      <c r="N3" s="102">
        <f>'% Incidencia de dor aguda'!K2</f>
        <v>3.6752605595172794E-2</v>
      </c>
      <c r="O3" s="120">
        <f>'% Incidencia de dor aguda'!O2</f>
        <v>3.6752605595172794E-2</v>
      </c>
      <c r="P3" s="19"/>
      <c r="Q3" s="19"/>
    </row>
    <row r="4" spans="1:17">
      <c r="A4" s="90">
        <v>3</v>
      </c>
      <c r="B4" s="90" t="s">
        <v>236</v>
      </c>
      <c r="C4" s="90" t="s">
        <v>237</v>
      </c>
      <c r="D4" s="90" t="str">
        <f>'% Abreviação do jejum P.'!A1</f>
        <v>INCIDÊNCIA DE ABREVIAÇÃO DO JEJUM PROLONGADO</v>
      </c>
      <c r="E4" s="124" t="s">
        <v>241</v>
      </c>
      <c r="F4" s="94">
        <f>'% Abreviação do jejum P.'!C2</f>
        <v>0.32</v>
      </c>
      <c r="G4" s="94">
        <f>'% Abreviação do jejum P.'!D2</f>
        <v>0.35</v>
      </c>
      <c r="H4" s="94">
        <f>'% Abreviação do jejum P.'!E2</f>
        <v>0.32</v>
      </c>
      <c r="I4" s="94">
        <f>'% Abreviação do jejum P.'!F2</f>
        <v>0.41</v>
      </c>
      <c r="J4" s="94">
        <f>'% Abreviação do jejum P.'!G2</f>
        <v>0.38</v>
      </c>
      <c r="K4" s="94">
        <f>'% Abreviação do jejum P.'!H2</f>
        <v>0.4</v>
      </c>
      <c r="L4" s="94">
        <f>'% Abreviação do jejum P.'!I2</f>
        <v>0.4</v>
      </c>
      <c r="M4" s="94">
        <f>'% Abreviação do jejum P.'!J2</f>
        <v>0.43</v>
      </c>
      <c r="N4" s="94">
        <f>'% Abreviação do jejum P.'!K2</f>
        <v>0.42</v>
      </c>
      <c r="O4" s="103">
        <f>'% Abreviação do jejum P.'!O2</f>
        <v>0.4</v>
      </c>
      <c r="P4" s="19"/>
      <c r="Q4" s="19"/>
    </row>
    <row r="5" spans="1:17">
      <c r="A5" s="91">
        <v>4</v>
      </c>
      <c r="B5" s="91" t="s">
        <v>239</v>
      </c>
      <c r="C5" s="91" t="s">
        <v>242</v>
      </c>
      <c r="D5" s="91" t="str">
        <f>'Incidencia de PCR até a Alta'!A1</f>
        <v>INCIDÊNCIA DE PARADA CARDIORRESPIRATÓRIA NO PERÍODO DA INDUÇÃO ATÉ A ALTA ANESTÉSICA</v>
      </c>
      <c r="E5" s="125" t="s">
        <v>119</v>
      </c>
      <c r="F5" s="95">
        <f>'Incidencia de PCR até a Alta'!C2</f>
        <v>0</v>
      </c>
      <c r="G5" s="95">
        <f>'Incidencia de PCR até a Alta'!D2</f>
        <v>0</v>
      </c>
      <c r="H5" s="95">
        <f>'Incidencia de PCR até a Alta'!E2</f>
        <v>0</v>
      </c>
      <c r="I5" s="95">
        <f>'Incidencia de PCR até a Alta'!F2</f>
        <v>0</v>
      </c>
      <c r="J5" s="95">
        <f>'Incidencia de PCR até a Alta'!G2</f>
        <v>0</v>
      </c>
      <c r="K5" s="95">
        <f>'Incidencia de PCR até a Alta'!H2</f>
        <v>0</v>
      </c>
      <c r="L5" s="96">
        <f>'Incidencia de PCR até a Alta'!I2</f>
        <v>0</v>
      </c>
      <c r="M5" s="96">
        <f>'Incidencia de PCR até a Alta'!J2</f>
        <v>5.8139534883720929E-4</v>
      </c>
      <c r="N5" s="96">
        <f>'Incidencia de PCR até a Alta'!K2</f>
        <v>5.4854635216675812E-4</v>
      </c>
      <c r="O5" s="93">
        <f>'Incidencia de PCR até a Alta'!O2</f>
        <v>0</v>
      </c>
      <c r="P5" s="98"/>
      <c r="Q5" s="98"/>
    </row>
    <row r="6" spans="1:17">
      <c r="A6" s="90">
        <v>5</v>
      </c>
      <c r="B6" s="90" t="s">
        <v>236</v>
      </c>
      <c r="C6" s="90" t="s">
        <v>237</v>
      </c>
      <c r="D6" s="90" t="str">
        <f>'% Mudança da Tecnica Anestésica'!A1</f>
        <v>TAXA DE MUDANÇA DE TÉCNICA ANESTÉSICA</v>
      </c>
      <c r="E6" s="124" t="s">
        <v>62</v>
      </c>
      <c r="F6" s="97">
        <f>'% Mudança da Tecnica Anestésica'!C2</f>
        <v>0</v>
      </c>
      <c r="G6" s="97">
        <f>'% Mudança da Tecnica Anestésica'!D2</f>
        <v>0</v>
      </c>
      <c r="H6" s="97">
        <f>'% Mudança da Tecnica Anestésica'!E2</f>
        <v>0</v>
      </c>
      <c r="I6" s="97">
        <f>'% Mudança da Tecnica Anestésica'!F2</f>
        <v>0</v>
      </c>
      <c r="J6" s="97">
        <f>'% Mudança da Tecnica Anestésica'!G2</f>
        <v>0</v>
      </c>
      <c r="K6" s="97">
        <f>'% Mudança da Tecnica Anestésica'!H2</f>
        <v>0</v>
      </c>
      <c r="L6" s="97">
        <f>'% Mudança da Tecnica Anestésica'!I2</f>
        <v>0</v>
      </c>
      <c r="M6" s="97">
        <f>'% Mudança da Tecnica Anestésica'!J2</f>
        <v>0</v>
      </c>
      <c r="N6" s="97">
        <f>'% Mudança da Tecnica Anestésica'!K2</f>
        <v>1E-3</v>
      </c>
      <c r="O6" s="92">
        <f>'% Mudança da Tecnica Anestésica'!O2</f>
        <v>0</v>
      </c>
      <c r="P6" s="19"/>
      <c r="Q6" s="19"/>
    </row>
    <row r="7" spans="1:17" ht="25.5">
      <c r="A7" s="90">
        <v>6</v>
      </c>
      <c r="B7" s="90" t="s">
        <v>239</v>
      </c>
      <c r="C7" s="91" t="s">
        <v>242</v>
      </c>
      <c r="D7" s="99" t="str">
        <f>'% Incidência Enc. UTI'!A2</f>
        <v>INCIDÊNCIA DE PACIENTES ENCAMINHADOS PARA UTI SEM PLANEJAMENTO PRÉVIO COM INDICAÇÃO DECORRENTE DE EVENTOS ANESTÉSICOS</v>
      </c>
      <c r="E7" s="126" t="s">
        <v>135</v>
      </c>
      <c r="F7" s="117">
        <f>'% Incidência Enc. UTI'!C2</f>
        <v>7.1428571428571429E-4</v>
      </c>
      <c r="G7" s="117">
        <f>'% Incidência Enc. UTI'!D2</f>
        <v>0</v>
      </c>
      <c r="H7" s="117">
        <f>'% Incidência Enc. UTI'!E2</f>
        <v>6.6622251832111927E-4</v>
      </c>
      <c r="I7" s="117">
        <f>'% Incidência Enc. UTI'!F2</f>
        <v>6.2460961898813238E-4</v>
      </c>
      <c r="J7" s="117">
        <f>'% Incidência Enc. UTI'!G2</f>
        <v>2.3837902264600714E-3</v>
      </c>
      <c r="K7" s="117">
        <f>'% Incidência Enc. UTI'!H2</f>
        <v>1.2903225806451613E-3</v>
      </c>
      <c r="L7" s="117">
        <f>'% Incidência Enc. UTI'!I2</f>
        <v>2.1401819154628142E-3</v>
      </c>
      <c r="M7" s="117">
        <f>'% Incidência Enc. UTI'!J2</f>
        <v>1.1267605633802818E-3</v>
      </c>
      <c r="N7" s="117">
        <f>'% Incidência Enc. UTI'!K2</f>
        <v>1.0723860589812334E-3</v>
      </c>
      <c r="O7" s="120">
        <f>'% Incidência Enc. UTI'!O2</f>
        <v>1.0723860589812334E-3</v>
      </c>
      <c r="P7" s="19"/>
      <c r="Q7" s="19"/>
    </row>
    <row r="8" spans="1:17">
      <c r="A8" s="90">
        <v>7</v>
      </c>
      <c r="B8" s="90" t="s">
        <v>236</v>
      </c>
      <c r="C8" s="90" t="s">
        <v>237</v>
      </c>
      <c r="D8" s="90" t="str">
        <f>'% Efet. no controle glicemico'!A2</f>
        <v>EFETIVIDADE DO PROTOCOLO DE CONTROLE GLICÊMICO NO PERÍODO PERIOPERATÓRIO</v>
      </c>
      <c r="E8" s="124" t="s">
        <v>243</v>
      </c>
      <c r="F8" s="94">
        <f>'% Efet. no controle glicemico'!C2</f>
        <v>0.74</v>
      </c>
      <c r="G8" s="94">
        <f>'% Efet. no controle glicemico'!D2</f>
        <v>0.76</v>
      </c>
      <c r="H8" s="94">
        <f>'% Efet. no controle glicemico'!E2</f>
        <v>0.78</v>
      </c>
      <c r="I8" s="94">
        <f>'% Efet. no controle glicemico'!F2</f>
        <v>0.72</v>
      </c>
      <c r="J8" s="94">
        <f>'% Efet. no controle glicemico'!G2</f>
        <v>0.8</v>
      </c>
      <c r="K8" s="94">
        <f>'% Efet. no controle glicemico'!H2</f>
        <v>0.77</v>
      </c>
      <c r="L8" s="117">
        <f>'% Efet. no controle glicemico'!I2</f>
        <v>0.91</v>
      </c>
      <c r="M8" s="94">
        <f>'% Efet. no controle glicemico'!J2</f>
        <v>0.83878241262683206</v>
      </c>
      <c r="N8" s="94">
        <f>'% Efet. no controle glicemico'!K2</f>
        <v>0.82442748091603058</v>
      </c>
      <c r="O8" s="92">
        <f>'% Efet. no controle glicemico'!O2</f>
        <v>0.78</v>
      </c>
      <c r="P8" s="19"/>
      <c r="Q8" s="19"/>
    </row>
    <row r="9" spans="1:17">
      <c r="A9" s="90">
        <v>8</v>
      </c>
      <c r="B9" s="90" t="s">
        <v>239</v>
      </c>
      <c r="C9" s="90" t="s">
        <v>242</v>
      </c>
      <c r="D9" s="90" t="str">
        <f>'% Saídas sem eventos anestésico'!A2</f>
        <v>SAÍDAS SEM EVENTOS RELACIONADOS AO ATO ANESTÉSICO</v>
      </c>
      <c r="E9" s="124" t="s">
        <v>147</v>
      </c>
      <c r="F9" s="94">
        <f>'% Saídas sem eventos anestésico'!C2</f>
        <v>0.86</v>
      </c>
      <c r="G9" s="94">
        <f>'% Saídas sem eventos anestésico'!D2</f>
        <v>0.86</v>
      </c>
      <c r="H9" s="94">
        <f>'% Saídas sem eventos anestésico'!E2</f>
        <v>0.87</v>
      </c>
      <c r="I9" s="94">
        <f>'% Saídas sem eventos anestésico'!F2</f>
        <v>0.89</v>
      </c>
      <c r="J9" s="94">
        <f>'% Saídas sem eventos anestésico'!G2</f>
        <v>0.84</v>
      </c>
      <c r="K9" s="94">
        <f>'% Saídas sem eventos anestésico'!H2</f>
        <v>0.88</v>
      </c>
      <c r="L9" s="94">
        <f>'% Saídas sem eventos anestésico'!I2</f>
        <v>0.88</v>
      </c>
      <c r="M9" s="94">
        <f>'% Saídas sem eventos anestésico'!J2</f>
        <v>0.88</v>
      </c>
      <c r="N9" s="97">
        <f>'% Saídas sem eventos anestésico'!K2</f>
        <v>0.9</v>
      </c>
      <c r="O9" s="103">
        <f>'% Saídas sem eventos anestésico'!O2</f>
        <v>0.88</v>
      </c>
      <c r="P9" s="19"/>
      <c r="Q9" s="19"/>
    </row>
    <row r="10" spans="1:17">
      <c r="A10" s="90">
        <v>9</v>
      </c>
      <c r="B10" s="90" t="s">
        <v>239</v>
      </c>
      <c r="C10" s="90" t="s">
        <v>242</v>
      </c>
      <c r="D10" s="90" t="str">
        <f>'% Mortalidade Associada a anest'!A2</f>
        <v>MORTALIDADE ASSOCIADA A ANESTESIA EM 48 HORAS E ATÉ 30 DIAS</v>
      </c>
      <c r="E10" s="126" t="s">
        <v>244</v>
      </c>
      <c r="F10" s="97">
        <f>'% Mortalidade Associada a anest'!C2</f>
        <v>0</v>
      </c>
      <c r="G10" s="97">
        <f>'% Mortalidade Associada a anest'!D2</f>
        <v>0</v>
      </c>
      <c r="H10" s="97">
        <f>'% Mortalidade Associada a anest'!E2</f>
        <v>0</v>
      </c>
      <c r="I10" s="97">
        <f>'% Mortalidade Associada a anest'!F2</f>
        <v>0</v>
      </c>
      <c r="J10" s="97">
        <f>'% Mortalidade Associada a anest'!G2</f>
        <v>0</v>
      </c>
      <c r="K10" s="97">
        <f>'% Mortalidade Associada a anest'!H2</f>
        <v>0</v>
      </c>
      <c r="L10" s="97">
        <f>'% Mortalidade Associada a anest'!I2</f>
        <v>1E-3</v>
      </c>
      <c r="M10" s="97">
        <f>'% Mortalidade Associada a anest'!J2</f>
        <v>0</v>
      </c>
      <c r="N10" s="97">
        <f>'% Mortalidade Associada a anest'!K2</f>
        <v>0</v>
      </c>
      <c r="O10" s="92">
        <f>'% Mortalidade Associada a anest'!O2</f>
        <v>0</v>
      </c>
      <c r="P10" s="19"/>
      <c r="Q10" s="19"/>
    </row>
    <row r="11" spans="1:17">
      <c r="A11" s="90">
        <v>10</v>
      </c>
      <c r="B11" s="90" t="s">
        <v>236</v>
      </c>
      <c r="C11" s="90" t="s">
        <v>237</v>
      </c>
      <c r="D11" s="90" t="str">
        <f>'% Estratificação de risco'!A2</f>
        <v>TAXA DE ESTRATIFICAÇÃO DE RISCO ANESTÉSICO DO SERVIÇO</v>
      </c>
      <c r="E11" s="127" t="s">
        <v>245</v>
      </c>
      <c r="F11" s="97">
        <f>'% Estratificação de risco'!C2</f>
        <v>1</v>
      </c>
      <c r="G11" s="97">
        <f>'% Estratificação de risco'!D2</f>
        <v>1</v>
      </c>
      <c r="H11" s="97">
        <f>'% Estratificação de risco'!E2</f>
        <v>1</v>
      </c>
      <c r="I11" s="97">
        <f>'% Estratificação de risco'!F2</f>
        <v>1</v>
      </c>
      <c r="J11" s="97">
        <f>'% Estratificação de risco'!G2</f>
        <v>1</v>
      </c>
      <c r="K11" s="97">
        <f>'% Estratificação de risco'!H2</f>
        <v>1</v>
      </c>
      <c r="L11" s="97">
        <f>'% Estratificação de risco'!I2</f>
        <v>1</v>
      </c>
      <c r="M11" s="97">
        <f>'% Estratificação de risco'!J2</f>
        <v>1</v>
      </c>
      <c r="N11" s="97">
        <f>'% Estratificação de risco'!K2</f>
        <v>1</v>
      </c>
      <c r="O11" s="92">
        <f>'% Estratificação de risco'!O2</f>
        <v>1</v>
      </c>
      <c r="P11" s="19"/>
      <c r="Q11" s="19"/>
    </row>
    <row r="12" spans="1:17">
      <c r="A12" s="90">
        <v>11</v>
      </c>
      <c r="B12" s="90" t="s">
        <v>239</v>
      </c>
      <c r="C12" s="90" t="s">
        <v>242</v>
      </c>
      <c r="D12" s="90" t="str">
        <f>'%Incidencia de VAD não prevista'!A2</f>
        <v>INCIDÊNCIA DE VIA ÁREA DIFÍCIL NÃO IDENTIFICADA NO PERÍODO INTRAOPERATÓRIO</v>
      </c>
      <c r="E12" s="124" t="s">
        <v>246</v>
      </c>
      <c r="F12" s="102">
        <f>'%Incidencia de VAD não prevista'!C2</f>
        <v>0</v>
      </c>
      <c r="G12" s="102">
        <f>'%Incidencia de VAD não prevista'!D2</f>
        <v>0</v>
      </c>
      <c r="H12" s="102">
        <f>'%Incidencia de VAD não prevista'!E2</f>
        <v>0</v>
      </c>
      <c r="I12" s="102">
        <f>'%Incidencia de VAD não prevista'!F2</f>
        <v>0</v>
      </c>
      <c r="J12" s="105">
        <f>'%Incidencia de VAD não prevista'!G2</f>
        <v>2.1231422505307855E-3</v>
      </c>
      <c r="K12" s="105">
        <f>'%Incidencia de VAD não prevista'!H2</f>
        <v>0</v>
      </c>
      <c r="L12" s="102">
        <f>'%Incidencia de VAD não prevista'!I2</f>
        <v>0</v>
      </c>
      <c r="M12" s="105">
        <f>'%Incidencia de VAD não prevista'!J2</f>
        <v>5.6390977443609019E-3</v>
      </c>
      <c r="N12" s="105">
        <f>'%Incidencia de VAD não prevista'!K2</f>
        <v>5.5350553505535052E-3</v>
      </c>
      <c r="O12" s="120">
        <f>'%Incidencia de VAD não prevista'!O2</f>
        <v>0</v>
      </c>
      <c r="P12" s="19"/>
      <c r="Q12" s="19"/>
    </row>
    <row r="13" spans="1:17" ht="23.25">
      <c r="A13" s="90">
        <v>12</v>
      </c>
      <c r="B13" s="90" t="s">
        <v>239</v>
      </c>
      <c r="C13" s="90" t="s">
        <v>237</v>
      </c>
      <c r="D13" s="90" t="str">
        <f>'% Incidência de NVPO'!A2</f>
        <v>TAXA DE INCIDÊNCIA DE NÁUSEA E VÔMITO NO PERÍODO INTRAOPERATÓRIO ATÉ A ALTA ANESTÉSICA</v>
      </c>
      <c r="E13" s="126" t="s">
        <v>247</v>
      </c>
      <c r="F13" s="102">
        <f>'% Incidência de NVPO'!C2</f>
        <v>5.1843317972350228E-2</v>
      </c>
      <c r="G13" s="102">
        <f>'% Incidência de NVPO'!D2</f>
        <v>5.8378378378378379E-2</v>
      </c>
      <c r="H13" s="102">
        <f>'% Incidência de NVPO'!E2</f>
        <v>6.3321385902031069E-2</v>
      </c>
      <c r="I13" s="102">
        <f>'% Incidência de NVPO'!F2</f>
        <v>4.5263157894736845E-2</v>
      </c>
      <c r="J13" s="102">
        <f>'% Incidência de NVPO'!G2</f>
        <v>6.4189189189189186E-2</v>
      </c>
      <c r="K13" s="102">
        <f>'% Incidência de NVPO'!H2</f>
        <v>5.4466230936819175E-2</v>
      </c>
      <c r="L13" s="102">
        <f>'% Incidência de NVPO'!I2</f>
        <v>5.8341862845445243E-2</v>
      </c>
      <c r="M13" s="102">
        <f>'% Incidência de NVPO'!J2</f>
        <v>5.2465897166841552E-2</v>
      </c>
      <c r="N13" s="102">
        <f>'% Incidência de NVPO'!K2</f>
        <v>3.9274924471299093E-2</v>
      </c>
      <c r="O13" s="123">
        <f>'% Incidência de NVPO'!O2</f>
        <v>5.4466230936819175E-2</v>
      </c>
      <c r="P13" s="19"/>
      <c r="Q13" s="19"/>
    </row>
    <row r="14" spans="1:17">
      <c r="A14" s="90">
        <v>13</v>
      </c>
      <c r="B14" s="90" t="s">
        <v>236</v>
      </c>
      <c r="C14" s="90" t="s">
        <v>242</v>
      </c>
      <c r="D14" s="90" t="str">
        <f>'%Efetiv. no manejo de Int. Anes'!A1</f>
        <v>EFETIVIDADE DO PROTOCOLO DE MANEJO DE INTOXICAÇÃO POR ANESTÉSICOS LOCAIS</v>
      </c>
      <c r="E14" s="124" t="s">
        <v>243</v>
      </c>
      <c r="F14" s="97">
        <f>'%Efetiv. no manejo de Int. Anes'!C2</f>
        <v>1</v>
      </c>
      <c r="G14" s="97">
        <f>'%Efetiv. no manejo de Int. Anes'!D2</f>
        <v>1</v>
      </c>
      <c r="H14" s="97">
        <f>'%Efetiv. no manejo de Int. Anes'!E2</f>
        <v>1</v>
      </c>
      <c r="I14" s="97">
        <f>'%Efetiv. no manejo de Int. Anes'!F2</f>
        <v>1</v>
      </c>
      <c r="J14" s="97">
        <f>'%Efetiv. no manejo de Int. Anes'!G2</f>
        <v>1</v>
      </c>
      <c r="K14" s="97">
        <f>'%Efetiv. no manejo de Int. Anes'!H2</f>
        <v>1</v>
      </c>
      <c r="L14" s="97">
        <f>'%Efetiv. no manejo de Int. Anes'!I2</f>
        <v>1</v>
      </c>
      <c r="M14" s="97">
        <f>'%Efetiv. no manejo de Int. Anes'!J2</f>
        <v>1</v>
      </c>
      <c r="N14" s="97">
        <f>'%Efetiv. no manejo de Int. Anes'!K2</f>
        <v>1</v>
      </c>
      <c r="O14" s="92">
        <f>'%Efetiv. no manejo de Int. Anes'!O2</f>
        <v>1</v>
      </c>
      <c r="P14" s="19"/>
      <c r="Q14" s="19"/>
    </row>
    <row r="15" spans="1:17">
      <c r="A15" s="90">
        <v>13</v>
      </c>
      <c r="B15" s="90" t="s">
        <v>236</v>
      </c>
      <c r="C15" s="90" t="s">
        <v>242</v>
      </c>
      <c r="D15" s="90" t="s">
        <v>248</v>
      </c>
      <c r="E15" s="124" t="s">
        <v>238</v>
      </c>
      <c r="F15" s="97">
        <v>0.99</v>
      </c>
      <c r="G15" s="97">
        <v>0.99</v>
      </c>
      <c r="H15" s="97">
        <v>0.98</v>
      </c>
      <c r="I15" s="103">
        <v>0.91</v>
      </c>
      <c r="J15" s="103">
        <v>0.87</v>
      </c>
      <c r="K15" s="103">
        <v>0.85</v>
      </c>
      <c r="L15" s="103">
        <v>0.94</v>
      </c>
      <c r="M15" s="97">
        <v>0.96</v>
      </c>
      <c r="N15" s="97">
        <v>0.97</v>
      </c>
      <c r="O15" s="92"/>
      <c r="P15" s="19"/>
      <c r="Q15" s="19"/>
    </row>
    <row r="16" spans="1:17">
      <c r="A16" s="90"/>
      <c r="B16" s="90"/>
      <c r="C16" s="90"/>
      <c r="D16" s="90" t="s">
        <v>249</v>
      </c>
      <c r="E16" s="124" t="s">
        <v>238</v>
      </c>
      <c r="F16" s="97"/>
      <c r="G16" s="97"/>
      <c r="H16" s="97"/>
      <c r="I16" s="103"/>
      <c r="J16" s="103"/>
      <c r="K16" s="97">
        <v>1</v>
      </c>
      <c r="L16" s="97">
        <v>1</v>
      </c>
      <c r="M16" s="97">
        <v>1</v>
      </c>
      <c r="N16" s="97">
        <v>1</v>
      </c>
      <c r="O16" s="92"/>
      <c r="P16" s="19"/>
      <c r="Q16" s="19"/>
    </row>
    <row r="17" spans="1:17">
      <c r="A17" s="90"/>
      <c r="B17" s="90"/>
      <c r="C17" s="90"/>
      <c r="D17" s="90" t="s">
        <v>250</v>
      </c>
      <c r="E17" s="124" t="s">
        <v>238</v>
      </c>
      <c r="F17" s="97"/>
      <c r="G17" s="97"/>
      <c r="H17" s="97"/>
      <c r="I17" s="103"/>
      <c r="J17" s="103"/>
      <c r="K17" s="97">
        <v>1</v>
      </c>
      <c r="L17" s="97">
        <v>1</v>
      </c>
      <c r="M17" s="97">
        <v>1</v>
      </c>
      <c r="N17" s="97">
        <v>1</v>
      </c>
      <c r="O17" s="92"/>
      <c r="P17" s="19"/>
      <c r="Q17" s="19"/>
    </row>
    <row r="18" spans="1:17">
      <c r="A18" s="90">
        <v>13</v>
      </c>
      <c r="B18" s="90" t="s">
        <v>236</v>
      </c>
      <c r="C18" s="90" t="s">
        <v>242</v>
      </c>
      <c r="D18" s="90" t="str">
        <f>'% Conformidade do ATB'!A1</f>
        <v>TAXA DE CONFORMIDADE DA PROFILAXIA ANTIMICROBIANA CIRÚRGICA DURANTE O PROCEDIMENTO</v>
      </c>
      <c r="E18" s="124" t="s">
        <v>238</v>
      </c>
      <c r="F18" s="103">
        <f>MEDIAN(F15:F17)</f>
        <v>0.99</v>
      </c>
      <c r="G18" s="103">
        <f t="shared" ref="G18:N18" si="0">MEDIAN(G15:G17)</f>
        <v>0.99</v>
      </c>
      <c r="H18" s="103">
        <f t="shared" si="0"/>
        <v>0.98</v>
      </c>
      <c r="I18" s="103">
        <f t="shared" si="0"/>
        <v>0.91</v>
      </c>
      <c r="J18" s="103">
        <f t="shared" si="0"/>
        <v>0.87</v>
      </c>
      <c r="K18" s="103">
        <v>0.95</v>
      </c>
      <c r="L18" s="103">
        <v>0.98</v>
      </c>
      <c r="M18" s="103">
        <f t="shared" si="0"/>
        <v>1</v>
      </c>
      <c r="N18" s="103">
        <f t="shared" si="0"/>
        <v>1</v>
      </c>
      <c r="O18" s="103">
        <f>'% Conformidade do ATB'!O2</f>
        <v>0.89</v>
      </c>
      <c r="P18" s="19"/>
      <c r="Q18" s="19"/>
    </row>
    <row r="19" spans="1:17" ht="32.25">
      <c r="A19" s="90">
        <v>13</v>
      </c>
      <c r="B19" s="90" t="s">
        <v>236</v>
      </c>
      <c r="C19" s="90" t="s">
        <v>237</v>
      </c>
      <c r="D19" s="90" t="str">
        <f>'% Efet. Prevenção Cefaléia PPD'!A1</f>
        <v>EFETIVIDADE DO PROTOCOLO DE PREVENÇÃO DE CAFALÉIA PÓS PUNÇÃO DURAL</v>
      </c>
      <c r="E19" s="128" t="s">
        <v>251</v>
      </c>
      <c r="F19" s="97">
        <f>'% Efet. Prevenção Cefaléia PPD'!C2</f>
        <v>1</v>
      </c>
      <c r="G19" s="97">
        <f>'% Efet. Prevenção Cefaléia PPD'!D2</f>
        <v>1</v>
      </c>
      <c r="H19" s="97">
        <f>'% Efet. Prevenção Cefaléia PPD'!E2</f>
        <v>1</v>
      </c>
      <c r="I19" s="97">
        <f>'% Efet. Prevenção Cefaléia PPD'!F2</f>
        <v>1</v>
      </c>
      <c r="J19" s="97">
        <f>'% Efet. Prevenção Cefaléia PPD'!G2</f>
        <v>0.99</v>
      </c>
      <c r="K19" s="97">
        <f>'% Efet. Prevenção Cefaléia PPD'!H2</f>
        <v>1</v>
      </c>
      <c r="L19" s="97">
        <f>'% Efet. Prevenção Cefaléia PPD'!I2</f>
        <v>0.97</v>
      </c>
      <c r="M19" s="97">
        <f>'% Efet. Prevenção Cefaléia PPD'!J2</f>
        <v>0.99</v>
      </c>
      <c r="N19" s="97">
        <f>'% Efet. Prevenção Cefaléia PPD'!K2</f>
        <v>1</v>
      </c>
      <c r="O19" s="92">
        <f>'% Efet. Prevenção Cefaléia PPD'!O2</f>
        <v>1</v>
      </c>
      <c r="P19" s="19"/>
      <c r="Q19" s="19"/>
    </row>
    <row r="20" spans="1:17" ht="23.25">
      <c r="A20" s="90">
        <v>13</v>
      </c>
      <c r="B20" s="90" t="s">
        <v>239</v>
      </c>
      <c r="C20" s="90" t="s">
        <v>237</v>
      </c>
      <c r="D20" s="99" t="str">
        <f>'% Incidência de Hipotermia'!A1</f>
        <v>TAXA DE INCIDÊNCIA DE HIPOTERMIA NÃO INTENCIONAL NO PERÍODO INTRAOPERATÓRIO ATÉ A ALTA ANESTÉSICA</v>
      </c>
      <c r="E20" s="126" t="s">
        <v>252</v>
      </c>
      <c r="F20" s="105">
        <f>'% Incidência de Hipotermia'!C2</f>
        <v>4.076086956521739E-3</v>
      </c>
      <c r="G20" s="105">
        <f>'% Incidência de Hipotermia'!D2</f>
        <v>4.560260586319218E-3</v>
      </c>
      <c r="H20" s="105">
        <f>'% Incidência de Hipotermia'!E2</f>
        <v>1.9569471624266144E-3</v>
      </c>
      <c r="I20" s="105">
        <f>'% Incidência de Hipotermia'!F2</f>
        <v>2.4660912453760789E-3</v>
      </c>
      <c r="J20" s="105">
        <f>'% Incidência de Hipotermia'!G2</f>
        <v>2.4891101431238332E-3</v>
      </c>
      <c r="K20" s="105">
        <f>'% Incidência de Hipotermia'!H2</f>
        <v>3.2679738562091504E-3</v>
      </c>
      <c r="L20" s="105">
        <f>'% Incidência de Hipotermia'!I2</f>
        <v>2.2459292532285235E-3</v>
      </c>
      <c r="M20" s="105">
        <f>'% Incidência de Hipotermia'!J2</f>
        <v>3.4883720930232558E-3</v>
      </c>
      <c r="N20" s="105">
        <f>'% Incidência de Hipotermia'!K2</f>
        <v>4.936917169500823E-3</v>
      </c>
      <c r="O20" s="120">
        <f>'% Incidência de Hipotermia'!O2</f>
        <v>3.2679738562091504E-3</v>
      </c>
      <c r="P20" s="19"/>
      <c r="Q20" s="19"/>
    </row>
    <row r="21" spans="1:17" ht="23.25">
      <c r="A21" s="90">
        <v>13</v>
      </c>
      <c r="B21" s="90" t="s">
        <v>239</v>
      </c>
      <c r="C21" s="90" t="s">
        <v>242</v>
      </c>
      <c r="D21" s="130" t="s">
        <v>188</v>
      </c>
      <c r="E21" s="126" t="s">
        <v>253</v>
      </c>
      <c r="F21" s="103">
        <f>'% adesão aos prot.segurança'!C2</f>
        <v>0.91331178372024679</v>
      </c>
      <c r="G21" s="103">
        <f>'% adesão aos prot.segurança'!D2</f>
        <v>0.91440559440559444</v>
      </c>
      <c r="H21" s="103">
        <f>'% adesão aos prot.segurança'!E2</f>
        <v>0.92696320702910484</v>
      </c>
      <c r="I21" s="103">
        <f>'% adesão aos prot.segurança'!F2</f>
        <v>0.90945573112616007</v>
      </c>
      <c r="J21" s="103">
        <f>'% adesão aos prot.segurança'!G2</f>
        <v>0.92497482376636453</v>
      </c>
      <c r="K21" s="103">
        <f>'% adesão aos prot.segurança'!H2</f>
        <v>0.91330698287220025</v>
      </c>
      <c r="L21" s="143">
        <f>'% adesão aos prot.segurança'!I2</f>
        <v>0.94478527607361962</v>
      </c>
      <c r="M21" s="143">
        <f>'% adesão aos prot.segurança'!J2</f>
        <v>0.94006934125804853</v>
      </c>
      <c r="N21" s="143">
        <f>'% adesão aos prot.segurança'!K2</f>
        <v>0.9355146883209936</v>
      </c>
      <c r="O21" s="103">
        <f>MEDIAN(F21:N21)</f>
        <v>0.92497482376636453</v>
      </c>
      <c r="P21" s="24"/>
      <c r="Q21" s="24"/>
    </row>
    <row r="22" spans="1:17" ht="23.25">
      <c r="A22" s="90">
        <v>13</v>
      </c>
      <c r="B22" s="90" t="s">
        <v>236</v>
      </c>
      <c r="C22" s="90" t="s">
        <v>237</v>
      </c>
      <c r="D22" s="99" t="s">
        <v>254</v>
      </c>
      <c r="E22" s="126" t="s">
        <v>253</v>
      </c>
      <c r="F22" s="103">
        <f>'% adesão aos prot clinico Assit'!C2</f>
        <v>0.82763115021179534</v>
      </c>
      <c r="G22" s="103">
        <f>'% adesão aos prot clinico Assit'!D2</f>
        <v>0.83924646781789636</v>
      </c>
      <c r="H22" s="103">
        <f>'% adesão aos prot clinico Assit'!E2</f>
        <v>0.82133006435795275</v>
      </c>
      <c r="I22" s="103">
        <f>'% adesão aos prot clinico Assit'!F2</f>
        <v>0.845707656612529</v>
      </c>
      <c r="J22" s="103">
        <f>'% adesão aos prot clinico Assit'!G2</f>
        <v>0.80821513002364065</v>
      </c>
      <c r="K22" s="103">
        <f>'% adesão aos prot clinico Assit'!H2</f>
        <v>0.82384341637010672</v>
      </c>
      <c r="L22" s="103">
        <f>'% adesão aos prot clinico Assit'!I2</f>
        <v>0.84368008948545858</v>
      </c>
      <c r="M22" s="103">
        <f>'% adesão aos prot clinico Assit'!J2</f>
        <v>0.83897605284888521</v>
      </c>
      <c r="N22" s="103">
        <f>'% adesão aos prot clinico Assit'!K2</f>
        <v>0.84113890367216604</v>
      </c>
      <c r="O22" s="103">
        <f>MEDIAN(F22:N22)</f>
        <v>0.83897605284888521</v>
      </c>
      <c r="P22" s="24"/>
      <c r="Q22" s="24"/>
    </row>
    <row r="23" spans="1:17">
      <c r="A23" s="90">
        <v>13</v>
      </c>
      <c r="B23" s="90" t="s">
        <v>255</v>
      </c>
      <c r="C23" s="90" t="s">
        <v>256</v>
      </c>
      <c r="D23" s="99" t="s">
        <v>257</v>
      </c>
      <c r="E23" s="126" t="s">
        <v>258</v>
      </c>
      <c r="F23" s="24"/>
      <c r="G23" s="24"/>
      <c r="H23" s="24"/>
      <c r="I23" s="24"/>
      <c r="J23" s="24"/>
      <c r="K23" s="24"/>
      <c r="L23" s="24"/>
      <c r="M23" s="24"/>
      <c r="N23" s="24"/>
      <c r="O23" s="103"/>
      <c r="P23" s="24"/>
      <c r="Q23" s="24"/>
    </row>
    <row r="24" spans="1:17">
      <c r="A24" s="90">
        <v>13</v>
      </c>
      <c r="B24" s="90" t="s">
        <v>239</v>
      </c>
      <c r="C24" s="90" t="s">
        <v>259</v>
      </c>
      <c r="D24" s="99" t="s">
        <v>260</v>
      </c>
      <c r="E24" s="126" t="s">
        <v>261</v>
      </c>
      <c r="F24" s="137">
        <v>9.81</v>
      </c>
      <c r="G24" s="137">
        <v>10</v>
      </c>
      <c r="H24" s="137">
        <v>9.6199999999999992</v>
      </c>
      <c r="I24" s="137">
        <v>9.5399999999999991</v>
      </c>
      <c r="J24" s="137">
        <v>9.75</v>
      </c>
      <c r="K24" s="137">
        <v>9.7899999999999991</v>
      </c>
      <c r="L24" s="137">
        <v>9.67</v>
      </c>
      <c r="M24" s="137">
        <v>9.65</v>
      </c>
      <c r="N24" s="90"/>
      <c r="O24" s="137">
        <f>MEDIAN(F24:N24)</f>
        <v>9.7100000000000009</v>
      </c>
      <c r="P24" s="24"/>
      <c r="Q24" s="24"/>
    </row>
    <row r="25" spans="1:17" ht="23.25">
      <c r="A25" s="90">
        <v>13</v>
      </c>
      <c r="B25" s="90" t="s">
        <v>239</v>
      </c>
      <c r="C25" s="90" t="s">
        <v>262</v>
      </c>
      <c r="D25" s="99" t="s">
        <v>263</v>
      </c>
      <c r="E25" s="126" t="s">
        <v>264</v>
      </c>
      <c r="F25" s="137">
        <v>4.87</v>
      </c>
      <c r="G25" s="137">
        <v>4.79</v>
      </c>
      <c r="H25" s="137">
        <v>4.8099999999999996</v>
      </c>
      <c r="I25" s="137">
        <v>4.76</v>
      </c>
      <c r="J25" s="137">
        <v>4.9400000000000004</v>
      </c>
      <c r="K25" s="137">
        <v>4.92</v>
      </c>
      <c r="L25" s="137">
        <v>4.91</v>
      </c>
      <c r="M25" s="137">
        <v>4.8899999999999997</v>
      </c>
      <c r="N25" s="90"/>
      <c r="O25" s="137">
        <f>MEDIAN(F25:N25)</f>
        <v>4.88</v>
      </c>
      <c r="P25" s="24"/>
      <c r="Q25" s="2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5F846-4686-4D22-A711-E02215717F41}">
  <sheetPr filterMode="1"/>
  <dimension ref="A1:I22"/>
  <sheetViews>
    <sheetView topLeftCell="D1" workbookViewId="0">
      <selection activeCell="H23" sqref="H23"/>
    </sheetView>
  </sheetViews>
  <sheetFormatPr defaultRowHeight="15"/>
  <cols>
    <col min="2" max="2" width="24.5703125" bestFit="1" customWidth="1"/>
    <col min="3" max="3" width="20.28515625" bestFit="1" customWidth="1"/>
    <col min="4" max="4" width="124.5703125" bestFit="1" customWidth="1"/>
    <col min="5" max="5" width="21.7109375" customWidth="1"/>
  </cols>
  <sheetData>
    <row r="1" spans="1:9">
      <c r="B1" t="s">
        <v>232</v>
      </c>
      <c r="C1" t="s">
        <v>233</v>
      </c>
      <c r="D1" t="s">
        <v>234</v>
      </c>
      <c r="E1" t="s">
        <v>235</v>
      </c>
      <c r="F1" t="s">
        <v>9</v>
      </c>
      <c r="G1" t="s">
        <v>10</v>
      </c>
      <c r="H1" t="s">
        <v>11</v>
      </c>
      <c r="I1" t="s">
        <v>125</v>
      </c>
    </row>
    <row r="2" spans="1:9">
      <c r="A2">
        <v>1</v>
      </c>
      <c r="B2" t="s">
        <v>236</v>
      </c>
      <c r="C2" t="s">
        <v>237</v>
      </c>
      <c r="D2" t="s">
        <v>1</v>
      </c>
      <c r="E2" t="s">
        <v>277</v>
      </c>
      <c r="F2" s="146">
        <v>0.95281995661605201</v>
      </c>
      <c r="G2" s="146">
        <v>0.97834757834757835</v>
      </c>
      <c r="H2" s="146">
        <v>0.97022198159177042</v>
      </c>
      <c r="I2" s="146">
        <v>0.85654512851165576</v>
      </c>
    </row>
    <row r="3" spans="1:9">
      <c r="A3">
        <v>2</v>
      </c>
      <c r="B3" t="s">
        <v>239</v>
      </c>
      <c r="C3" t="s">
        <v>237</v>
      </c>
      <c r="D3" t="s">
        <v>58</v>
      </c>
      <c r="E3" t="s">
        <v>278</v>
      </c>
      <c r="F3" s="146">
        <v>3.5934868051656375E-2</v>
      </c>
      <c r="G3" s="146">
        <v>3.3720930232558143E-2</v>
      </c>
      <c r="H3" s="146">
        <v>3.6752605595172794E-2</v>
      </c>
      <c r="I3" s="146">
        <v>3.6752605595172794E-2</v>
      </c>
    </row>
    <row r="4" spans="1:9">
      <c r="A4">
        <v>3</v>
      </c>
      <c r="B4" t="s">
        <v>236</v>
      </c>
      <c r="C4" t="s">
        <v>237</v>
      </c>
      <c r="D4" t="s">
        <v>90</v>
      </c>
      <c r="E4" t="s">
        <v>279</v>
      </c>
      <c r="F4" s="146">
        <v>0.4</v>
      </c>
      <c r="G4" s="146">
        <v>0.43</v>
      </c>
      <c r="H4" s="146">
        <v>0.42</v>
      </c>
      <c r="I4" s="146">
        <v>0.4</v>
      </c>
    </row>
    <row r="5" spans="1:9" hidden="1">
      <c r="A5">
        <v>4</v>
      </c>
      <c r="B5" t="s">
        <v>239</v>
      </c>
      <c r="C5" t="s">
        <v>242</v>
      </c>
      <c r="D5" t="s">
        <v>116</v>
      </c>
      <c r="E5" t="s">
        <v>119</v>
      </c>
      <c r="F5">
        <v>0</v>
      </c>
      <c r="G5">
        <v>5.8139534883720929E-4</v>
      </c>
      <c r="H5">
        <v>5.4854635216675812E-4</v>
      </c>
      <c r="I5">
        <v>0</v>
      </c>
    </row>
    <row r="6" spans="1:9">
      <c r="A6">
        <v>5</v>
      </c>
      <c r="B6" t="s">
        <v>236</v>
      </c>
      <c r="C6" t="s">
        <v>237</v>
      </c>
      <c r="D6" t="s">
        <v>124</v>
      </c>
      <c r="E6" t="s">
        <v>62</v>
      </c>
      <c r="F6">
        <v>0</v>
      </c>
      <c r="G6">
        <v>0</v>
      </c>
      <c r="H6">
        <v>1E-3</v>
      </c>
      <c r="I6">
        <v>0</v>
      </c>
    </row>
    <row r="7" spans="1:9" hidden="1">
      <c r="A7">
        <v>6</v>
      </c>
      <c r="B7" t="s">
        <v>239</v>
      </c>
      <c r="C7" t="s">
        <v>242</v>
      </c>
      <c r="D7" t="s">
        <v>133</v>
      </c>
      <c r="E7" t="s">
        <v>135</v>
      </c>
      <c r="F7" s="146">
        <v>2.1401819154628142E-3</v>
      </c>
      <c r="G7" s="146">
        <v>1.1267605633802818E-3</v>
      </c>
      <c r="H7" s="146">
        <v>1.0723860589812334E-3</v>
      </c>
      <c r="I7" s="146">
        <v>1.0723860589812334E-3</v>
      </c>
    </row>
    <row r="8" spans="1:9">
      <c r="A8">
        <v>7</v>
      </c>
      <c r="B8" t="s">
        <v>236</v>
      </c>
      <c r="C8" t="s">
        <v>237</v>
      </c>
      <c r="D8" t="s">
        <v>144</v>
      </c>
      <c r="E8" t="s">
        <v>280</v>
      </c>
      <c r="F8" s="146">
        <v>0.91</v>
      </c>
      <c r="G8" s="146">
        <v>0.83878241262683206</v>
      </c>
      <c r="H8" s="146">
        <v>0.82442748091603058</v>
      </c>
      <c r="I8" s="146">
        <v>0.78</v>
      </c>
    </row>
    <row r="9" spans="1:9" hidden="1">
      <c r="A9">
        <v>8</v>
      </c>
      <c r="B9" t="s">
        <v>239</v>
      </c>
      <c r="C9" t="s">
        <v>242</v>
      </c>
      <c r="D9" t="s">
        <v>165</v>
      </c>
      <c r="E9" t="s">
        <v>147</v>
      </c>
      <c r="F9" s="146">
        <v>0.88</v>
      </c>
      <c r="G9" s="146">
        <v>0.88</v>
      </c>
      <c r="H9" s="146">
        <v>0.9</v>
      </c>
      <c r="I9" s="146">
        <v>0.88</v>
      </c>
    </row>
    <row r="10" spans="1:9" hidden="1">
      <c r="A10">
        <v>9</v>
      </c>
      <c r="B10" t="s">
        <v>239</v>
      </c>
      <c r="C10" t="s">
        <v>242</v>
      </c>
      <c r="D10" t="s">
        <v>168</v>
      </c>
      <c r="E10" t="s">
        <v>244</v>
      </c>
      <c r="F10">
        <v>1E-3</v>
      </c>
      <c r="G10">
        <v>0</v>
      </c>
      <c r="H10">
        <v>0</v>
      </c>
      <c r="I10">
        <v>0</v>
      </c>
    </row>
    <row r="11" spans="1:9">
      <c r="A11">
        <v>10</v>
      </c>
      <c r="B11" t="s">
        <v>236</v>
      </c>
      <c r="C11" t="s">
        <v>237</v>
      </c>
      <c r="D11" t="s">
        <v>173</v>
      </c>
      <c r="E11" t="s">
        <v>245</v>
      </c>
      <c r="F11">
        <v>1</v>
      </c>
      <c r="G11">
        <v>1</v>
      </c>
      <c r="H11">
        <v>1</v>
      </c>
      <c r="I11">
        <v>1</v>
      </c>
    </row>
    <row r="12" spans="1:9" hidden="1">
      <c r="A12">
        <v>11</v>
      </c>
      <c r="B12" t="s">
        <v>239</v>
      </c>
      <c r="C12" t="s">
        <v>242</v>
      </c>
      <c r="D12" t="s">
        <v>175</v>
      </c>
      <c r="E12" t="s">
        <v>246</v>
      </c>
      <c r="F12" s="168">
        <v>0</v>
      </c>
      <c r="G12" s="168">
        <v>5.6390977443609019E-3</v>
      </c>
      <c r="H12" s="168">
        <v>5.5350553505535052E-3</v>
      </c>
      <c r="I12" s="168">
        <v>0</v>
      </c>
    </row>
    <row r="13" spans="1:9">
      <c r="A13">
        <v>12</v>
      </c>
      <c r="B13" t="s">
        <v>239</v>
      </c>
      <c r="C13" t="s">
        <v>237</v>
      </c>
      <c r="D13" t="s">
        <v>178</v>
      </c>
      <c r="E13" t="s">
        <v>247</v>
      </c>
      <c r="F13" s="146">
        <v>5.8341862845445243E-2</v>
      </c>
      <c r="G13" s="146">
        <v>5.2465897166841552E-2</v>
      </c>
      <c r="H13" s="146">
        <v>3.9274924471299093E-2</v>
      </c>
      <c r="I13" s="146">
        <v>5.4466230936819175E-2</v>
      </c>
    </row>
    <row r="14" spans="1:9" hidden="1">
      <c r="A14">
        <v>13</v>
      </c>
      <c r="B14" t="s">
        <v>236</v>
      </c>
      <c r="C14" t="s">
        <v>242</v>
      </c>
      <c r="D14" t="s">
        <v>182</v>
      </c>
      <c r="E14" t="s">
        <v>280</v>
      </c>
      <c r="F14">
        <v>1</v>
      </c>
      <c r="G14">
        <v>1</v>
      </c>
      <c r="H14">
        <v>1</v>
      </c>
      <c r="I14">
        <v>1</v>
      </c>
    </row>
    <row r="15" spans="1:9" hidden="1">
      <c r="A15">
        <v>13</v>
      </c>
      <c r="B15" t="s">
        <v>236</v>
      </c>
      <c r="C15" t="s">
        <v>242</v>
      </c>
      <c r="D15" t="s">
        <v>248</v>
      </c>
      <c r="E15" t="s">
        <v>277</v>
      </c>
      <c r="F15" s="146">
        <v>0.94</v>
      </c>
      <c r="G15" s="146">
        <v>0.96</v>
      </c>
      <c r="H15" s="146">
        <v>0.97</v>
      </c>
      <c r="I15" s="146"/>
    </row>
    <row r="16" spans="1:9" hidden="1">
      <c r="D16" t="s">
        <v>249</v>
      </c>
      <c r="E16" t="s">
        <v>277</v>
      </c>
      <c r="F16">
        <v>1</v>
      </c>
      <c r="G16">
        <v>1</v>
      </c>
      <c r="H16">
        <v>1</v>
      </c>
    </row>
    <row r="17" spans="1:9" hidden="1">
      <c r="D17" t="s">
        <v>250</v>
      </c>
      <c r="E17" t="s">
        <v>277</v>
      </c>
      <c r="F17">
        <v>1</v>
      </c>
      <c r="G17">
        <v>1</v>
      </c>
      <c r="H17">
        <v>1</v>
      </c>
    </row>
    <row r="18" spans="1:9" hidden="1">
      <c r="A18">
        <v>13</v>
      </c>
      <c r="B18" t="s">
        <v>236</v>
      </c>
      <c r="C18" t="s">
        <v>242</v>
      </c>
      <c r="D18" t="s">
        <v>185</v>
      </c>
      <c r="E18" t="s">
        <v>277</v>
      </c>
      <c r="F18" s="146">
        <v>0.98</v>
      </c>
      <c r="G18" s="146">
        <v>1</v>
      </c>
      <c r="H18" s="146">
        <v>1</v>
      </c>
      <c r="I18" s="146">
        <v>0.89</v>
      </c>
    </row>
    <row r="19" spans="1:9">
      <c r="A19">
        <v>13</v>
      </c>
      <c r="B19" t="s">
        <v>236</v>
      </c>
      <c r="C19" t="s">
        <v>237</v>
      </c>
      <c r="D19" t="s">
        <v>215</v>
      </c>
      <c r="E19" t="s">
        <v>251</v>
      </c>
      <c r="F19" s="146">
        <v>0.97</v>
      </c>
      <c r="G19" s="146">
        <v>0.99</v>
      </c>
      <c r="H19" s="146">
        <v>1</v>
      </c>
      <c r="I19" s="146">
        <v>1</v>
      </c>
    </row>
    <row r="20" spans="1:9">
      <c r="A20">
        <v>13</v>
      </c>
      <c r="B20" t="s">
        <v>239</v>
      </c>
      <c r="C20" t="s">
        <v>237</v>
      </c>
      <c r="D20" t="s">
        <v>218</v>
      </c>
      <c r="E20" t="s">
        <v>281</v>
      </c>
      <c r="F20" s="146">
        <v>2.2459292532285235E-3</v>
      </c>
      <c r="G20" s="146">
        <v>3.4883720930232558E-3</v>
      </c>
      <c r="H20" s="146">
        <v>4.936917169500823E-3</v>
      </c>
      <c r="I20" s="146">
        <v>3.2679738562091504E-3</v>
      </c>
    </row>
    <row r="21" spans="1:9" hidden="1">
      <c r="A21">
        <v>13</v>
      </c>
      <c r="B21" t="s">
        <v>239</v>
      </c>
      <c r="C21" t="s">
        <v>242</v>
      </c>
      <c r="D21" t="s">
        <v>188</v>
      </c>
      <c r="E21" t="s">
        <v>253</v>
      </c>
      <c r="F21" s="146">
        <v>0.94478527607361962</v>
      </c>
      <c r="G21" s="146">
        <v>0.94006934125804853</v>
      </c>
      <c r="H21" s="146">
        <v>0.9355146883209936</v>
      </c>
      <c r="I21" s="146">
        <v>0.92497482376636453</v>
      </c>
    </row>
    <row r="22" spans="1:9">
      <c r="A22">
        <v>13</v>
      </c>
      <c r="B22" t="s">
        <v>236</v>
      </c>
      <c r="C22" t="s">
        <v>237</v>
      </c>
      <c r="D22" t="s">
        <v>254</v>
      </c>
      <c r="E22" t="s">
        <v>253</v>
      </c>
      <c r="F22" s="146">
        <v>0.84368008948545858</v>
      </c>
      <c r="G22" s="146">
        <v>0.83897605284888521</v>
      </c>
      <c r="H22" s="146">
        <v>0.84113890367216604</v>
      </c>
      <c r="I22" s="146">
        <v>0.83897605284888521</v>
      </c>
    </row>
  </sheetData>
  <autoFilter ref="A1:I22" xr:uid="{62D5F846-4686-4D22-A711-E02215717F41}">
    <filterColumn colId="2">
      <filters>
        <filter val="Efetividade clínica"/>
      </filters>
    </filterColumn>
  </autoFilter>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56E6-87FB-46F6-8875-66FC0C227EF3}">
  <dimension ref="A1:C18"/>
  <sheetViews>
    <sheetView workbookViewId="0">
      <selection activeCell="B14" sqref="B14"/>
    </sheetView>
  </sheetViews>
  <sheetFormatPr defaultColWidth="74.42578125" defaultRowHeight="13.5"/>
  <cols>
    <col min="1" max="1" width="88.42578125" style="24" bestFit="1" customWidth="1"/>
    <col min="2" max="2" width="53.28515625" style="24" customWidth="1"/>
    <col min="3" max="3" width="61.7109375" style="24" customWidth="1"/>
    <col min="4" max="16384" width="74.42578125" style="24"/>
  </cols>
  <sheetData>
    <row r="1" spans="1:3" ht="20.25" customHeight="1" thickBot="1">
      <c r="A1" s="107" t="s">
        <v>282</v>
      </c>
      <c r="B1" s="108" t="s">
        <v>283</v>
      </c>
      <c r="C1" s="109" t="s">
        <v>284</v>
      </c>
    </row>
    <row r="2" spans="1:3" ht="15.75" thickBot="1">
      <c r="A2" s="110" t="s">
        <v>285</v>
      </c>
      <c r="B2" s="36" t="s">
        <v>286</v>
      </c>
      <c r="C2" s="111" t="s">
        <v>287</v>
      </c>
    </row>
    <row r="3" spans="1:3" ht="15.75" thickBot="1">
      <c r="A3" s="110" t="s">
        <v>288</v>
      </c>
      <c r="B3" s="36" t="s">
        <v>289</v>
      </c>
      <c r="C3" s="111" t="s">
        <v>290</v>
      </c>
    </row>
    <row r="4" spans="1:3" ht="15.75" thickBot="1">
      <c r="A4" s="110" t="s">
        <v>291</v>
      </c>
      <c r="B4" s="36" t="s">
        <v>292</v>
      </c>
      <c r="C4" s="111" t="s">
        <v>293</v>
      </c>
    </row>
    <row r="5" spans="1:3" ht="15.75" thickBot="1">
      <c r="A5" s="110" t="s">
        <v>294</v>
      </c>
      <c r="B5" s="112" t="s">
        <v>295</v>
      </c>
      <c r="C5" s="111" t="s">
        <v>296</v>
      </c>
    </row>
    <row r="6" spans="1:3" ht="15.75" thickBot="1">
      <c r="A6" s="110" t="s">
        <v>297</v>
      </c>
      <c r="B6" s="36" t="s">
        <v>298</v>
      </c>
      <c r="C6" s="111" t="s">
        <v>299</v>
      </c>
    </row>
    <row r="7" spans="1:3" ht="15.75" thickBot="1">
      <c r="A7" s="110" t="s">
        <v>300</v>
      </c>
      <c r="B7" s="112" t="s">
        <v>301</v>
      </c>
      <c r="C7" s="111" t="s">
        <v>302</v>
      </c>
    </row>
    <row r="8" spans="1:3" ht="15.75" thickBot="1">
      <c r="A8" s="110" t="s">
        <v>303</v>
      </c>
      <c r="B8" s="36" t="s">
        <v>304</v>
      </c>
      <c r="C8" s="111" t="s">
        <v>305</v>
      </c>
    </row>
    <row r="9" spans="1:3" ht="15.75" thickBot="1">
      <c r="A9" s="110" t="s">
        <v>306</v>
      </c>
      <c r="B9" s="36" t="s">
        <v>307</v>
      </c>
      <c r="C9" s="111" t="s">
        <v>308</v>
      </c>
    </row>
    <row r="10" spans="1:3" ht="15.75" thickBot="1">
      <c r="A10" s="110" t="s">
        <v>309</v>
      </c>
      <c r="B10" s="112" t="s">
        <v>310</v>
      </c>
      <c r="C10" s="111" t="s">
        <v>311</v>
      </c>
    </row>
    <row r="11" spans="1:3" ht="15.75" thickBot="1">
      <c r="A11" s="110" t="s">
        <v>312</v>
      </c>
      <c r="B11" s="112" t="s">
        <v>313</v>
      </c>
      <c r="C11" s="111" t="s">
        <v>314</v>
      </c>
    </row>
    <row r="12" spans="1:3" ht="15.75" thickBot="1">
      <c r="A12" s="110" t="s">
        <v>315</v>
      </c>
      <c r="B12" s="36" t="s">
        <v>316</v>
      </c>
      <c r="C12" s="111" t="s">
        <v>317</v>
      </c>
    </row>
    <row r="13" spans="1:3" ht="15.75" thickBot="1">
      <c r="A13" s="110" t="s">
        <v>318</v>
      </c>
      <c r="B13" s="36" t="s">
        <v>319</v>
      </c>
      <c r="C13" s="111" t="s">
        <v>320</v>
      </c>
    </row>
    <row r="14" spans="1:3" ht="15.75" thickBot="1">
      <c r="A14" s="110" t="s">
        <v>321</v>
      </c>
      <c r="B14" s="36" t="s">
        <v>322</v>
      </c>
      <c r="C14" s="111" t="s">
        <v>323</v>
      </c>
    </row>
    <row r="15" spans="1:3" ht="15.75" thickBot="1">
      <c r="A15" s="110" t="s">
        <v>324</v>
      </c>
      <c r="B15" s="112" t="s">
        <v>325</v>
      </c>
      <c r="C15" s="111" t="s">
        <v>326</v>
      </c>
    </row>
    <row r="16" spans="1:3" ht="15.75" thickBot="1">
      <c r="A16" s="110" t="s">
        <v>327</v>
      </c>
      <c r="B16" s="36" t="s">
        <v>286</v>
      </c>
      <c r="C16" s="111" t="s">
        <v>328</v>
      </c>
    </row>
    <row r="17" spans="1:3" ht="30.75" thickBot="1">
      <c r="A17" s="110" t="s">
        <v>329</v>
      </c>
      <c r="B17" s="113" t="s">
        <v>330</v>
      </c>
      <c r="C17" s="111" t="s">
        <v>331</v>
      </c>
    </row>
    <row r="18" spans="1:3" ht="30">
      <c r="A18" s="114" t="s">
        <v>332</v>
      </c>
      <c r="B18" s="115" t="s">
        <v>333</v>
      </c>
      <c r="C18" s="116" t="s">
        <v>334</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Iara Grasel</dc:creator>
  <cp:keywords/>
  <dc:description/>
  <cp:lastModifiedBy/>
  <cp:revision/>
  <dcterms:created xsi:type="dcterms:W3CDTF">2025-11-04T16:38:24Z</dcterms:created>
  <dcterms:modified xsi:type="dcterms:W3CDTF">2025-11-12T16:45:09Z</dcterms:modified>
  <cp:category/>
  <cp:contentStatus/>
</cp:coreProperties>
</file>